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78bf03df304a5d" /></Relationships>
</file>

<file path=xl/workbook.xml><?xml version="1.0" encoding="utf-8"?>
<x:workbook xmlns:x="http://schemas.openxmlformats.org/spreadsheetml/2006/main">
  <x:sheets>
    <x:sheet xmlns:r="http://schemas.openxmlformats.org/officeDocument/2006/relationships" name="ml_hardware" sheetId="1" r:id="R2ce594f0d01f4306"/>
    <x:sheet xmlns:r="http://schemas.openxmlformats.org/officeDocument/2006/relationships" name="_classification_map" sheetId="2" r:id="R7a25c4dfc5c2416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_ "/>
  </x:numFmts>
  <x:fonts count="21">
    <x:font>
      <x:sz val="11"/>
      <x:color theme="1"/>
      <x:name val="Calibri"/>
      <x:scheme val="minor"/>
    </x:font>
    <x:font>
      <x:b/>
      <x:sz val="11"/>
      <x:name val="Calibri"/>
      <x:scheme val="minor"/>
    </x:font>
    <x:font>
      <x:u val="single"/>
      <x:sz val="11"/>
      <x:color rgb="FF0000FF"/>
      <x:name val="Calibri"/>
      <x:scheme val="minor"/>
    </x:font>
    <x:font>
      <x:u val="single"/>
      <x:sz val="11"/>
      <x:color rgb="FF800080"/>
      <x:name val="Calibri"/>
      <x:scheme val="minor"/>
    </x:font>
    <x:font>
      <x:sz val="11"/>
      <x:color rgb="FFFF0000"/>
      <x:name val="Calibri"/>
      <x:scheme val="minor"/>
    </x:font>
    <x:font>
      <x:b/>
      <x:sz val="18"/>
      <x:color theme="3"/>
      <x:name val="Calibri"/>
      <x:scheme val="minor"/>
    </x:font>
    <x:font>
      <x:i/>
      <x:sz val="11"/>
      <x:color rgb="FF7F7F7F"/>
      <x:name val="Calibri"/>
      <x:scheme val="minor"/>
    </x:font>
    <x:font>
      <x:b/>
      <x:sz val="15"/>
      <x:color theme="3"/>
      <x:name val="Calibri"/>
      <x:scheme val="minor"/>
    </x:font>
    <x:font>
      <x:b/>
      <x:sz val="13"/>
      <x:color theme="3"/>
      <x:name val="Calibri"/>
      <x:scheme val="minor"/>
    </x:font>
    <x:font>
      <x:b/>
      <x:sz val="11"/>
      <x:color theme="3"/>
      <x:name val="Calibri"/>
      <x:scheme val="minor"/>
    </x:font>
    <x:font>
      <x:sz val="11"/>
      <x:color rgb="FF3F3F76"/>
      <x:name val="Calibri"/>
      <x:scheme val="minor"/>
    </x:font>
    <x:font>
      <x:b/>
      <x:sz val="11"/>
      <x:color rgb="FF3F3F3F"/>
      <x:name val="Calibri"/>
      <x:scheme val="minor"/>
    </x:font>
    <x:font>
      <x:b/>
      <x:sz val="11"/>
      <x:color rgb="FFFA7D00"/>
      <x:name val="Calibri"/>
      <x:scheme val="minor"/>
    </x:font>
    <x:font>
      <x:b/>
      <x:sz val="11"/>
      <x:color rgb="FFFFFFFF"/>
      <x:name val="Calibri"/>
      <x:scheme val="minor"/>
    </x:font>
    <x:font>
      <x:sz val="11"/>
      <x:color rgb="FFFA7D00"/>
      <x:name val="Calibri"/>
      <x:scheme val="minor"/>
    </x:font>
    <x:font>
      <x:b/>
      <x:sz val="11"/>
      <x:color theme="1"/>
      <x:name val="Calibri"/>
      <x:scheme val="minor"/>
    </x:font>
    <x:font>
      <x:sz val="11"/>
      <x:color rgb="FF006100"/>
      <x:name val="Calibri"/>
      <x:scheme val="minor"/>
    </x:font>
    <x:font>
      <x:sz val="11"/>
      <x:color rgb="FF9C0006"/>
      <x:name val="Calibri"/>
      <x:scheme val="minor"/>
    </x:font>
    <x:font>
      <x:sz val="11"/>
      <x:color rgb="FF9C6500"/>
      <x:name val="Calibri"/>
      <x:scheme val="minor"/>
    </x:font>
    <x:font>
      <x:sz val="11"/>
      <x:color theme="0"/>
      <x:name val="Calibri"/>
      <x:scheme val="minor"/>
    </x:font>
    <x:font>
      <x:sz val="11"/>
      <x:color theme="1"/>
      <x:name val="Calibri"/>
      <x:scheme val="minor"/>
    </x:font>
  </x:fonts>
  <x:fills count="34">
    <x:fill>
      <x:patternFill patternType="none"/>
    </x:fill>
    <x:fill>
      <x:patternFill patternType="gray125"/>
    </x:fill>
    <x:fill>
      <x:patternFill patternType="solid">
        <x:fgColor rgb="FFD9E2F3"/>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left/>
      <x:right/>
      <x:top/>
      <x:bottom/>
      <x:diagonal/>
    </x:border>
    <x:border>
      <x:left/>
      <x:right/>
      <x:top/>
      <x:bottom style="thin">
        <x:color rgb="FFBFBFBF"/>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50">
    <x:xf numFmtId="0" fontId="0" fillId="0" borderId="0" applyAlignment="1">
      <x:alignment vertical="center"/>
    </x:xf>
    <x:xf numFmtId="43" fontId="0" fillId="0" borderId="0" applyAlignment="1">
      <x:alignment vertical="center"/>
    </x:xf>
    <x:xf numFmtId="44" fontId="0" fillId="0" borderId="0" applyAlignment="1">
      <x:alignment vertical="center"/>
    </x:xf>
    <x:xf numFmtId="9" fontId="0" fillId="0" borderId="0" applyAlignment="1">
      <x:alignment vertical="center"/>
    </x:xf>
    <x:xf numFmtId="41" fontId="0" fillId="0" borderId="0" applyAlignment="1">
      <x:alignment vertical="center"/>
    </x:xf>
    <x:xf numFmtId="42" fontId="0" fillId="0" borderId="0" applyAlignment="1">
      <x:alignment vertical="center"/>
    </x:xf>
    <x:xf numFmtId="0" fontId="2" fillId="0" borderId="0" applyAlignment="1">
      <x:alignment vertical="center"/>
    </x:xf>
    <x:xf numFmtId="0" fontId="3" fillId="0" borderId="0" applyAlignment="1">
      <x:alignment vertical="center"/>
    </x:xf>
    <x:xf numFmtId="0" fontId="0" fillId="3" borderId="2" applyAlignment="1">
      <x:alignment vertical="center"/>
    </x:xf>
    <x:xf numFmtId="0" fontId="4" fillId="0" borderId="0" applyAlignment="1">
      <x:alignment vertical="center"/>
    </x:xf>
    <x:xf numFmtId="0" fontId="5" fillId="0" borderId="0" applyAlignment="1">
      <x:alignment vertical="center"/>
    </x:xf>
    <x:xf numFmtId="0" fontId="6" fillId="0" borderId="0" applyAlignment="1">
      <x:alignment vertical="center"/>
    </x:xf>
    <x:xf numFmtId="0" fontId="7" fillId="0" borderId="3" applyAlignment="1">
      <x:alignment vertical="center"/>
    </x:xf>
    <x:xf numFmtId="0" fontId="8" fillId="0" borderId="3" applyAlignment="1">
      <x:alignment vertical="center"/>
    </x:xf>
    <x:xf numFmtId="0" fontId="9" fillId="0" borderId="4" applyAlignment="1">
      <x:alignment vertical="center"/>
    </x:xf>
    <x:xf numFmtId="0" fontId="9" fillId="0" borderId="0" applyAlignment="1">
      <x:alignment vertical="center"/>
    </x:xf>
    <x:xf numFmtId="0" fontId="10" fillId="4" borderId="5" applyAlignment="1">
      <x:alignment vertical="center"/>
    </x:xf>
    <x:xf numFmtId="0" fontId="11" fillId="5" borderId="6" applyAlignment="1">
      <x:alignment vertical="center"/>
    </x:xf>
    <x:xf numFmtId="0" fontId="12" fillId="5" borderId="5" applyAlignment="1">
      <x:alignment vertical="center"/>
    </x:xf>
    <x:xf numFmtId="0" fontId="13" fillId="6" borderId="7" applyAlignment="1">
      <x:alignment vertical="center"/>
    </x:xf>
    <x:xf numFmtId="0" fontId="14" fillId="0" borderId="8" applyAlignment="1">
      <x:alignment vertical="center"/>
    </x:xf>
    <x:xf numFmtId="0" fontId="15" fillId="0" borderId="9" applyAlignment="1">
      <x:alignment vertical="center"/>
    </x:xf>
    <x:xf numFmtId="0" fontId="16" fillId="7" borderId="0" applyAlignment="1">
      <x:alignment vertical="center"/>
    </x:xf>
    <x:xf numFmtId="0" fontId="17" fillId="8" borderId="0" applyAlignment="1">
      <x:alignment vertical="center"/>
    </x:xf>
    <x:xf numFmtId="0" fontId="18" fillId="9" borderId="0" applyAlignment="1">
      <x:alignment vertical="center"/>
    </x:xf>
    <x:xf numFmtId="0" fontId="19" fillId="10" borderId="0" applyAlignment="1">
      <x:alignment vertical="center"/>
    </x:xf>
    <x:xf numFmtId="0" fontId="20" fillId="11" borderId="0" applyAlignment="1">
      <x:alignment vertical="center"/>
    </x:xf>
    <x:xf numFmtId="0" fontId="20" fillId="12" borderId="0" applyAlignment="1">
      <x:alignment vertical="center"/>
    </x:xf>
    <x:xf numFmtId="0" fontId="19" fillId="13" borderId="0" applyAlignment="1">
      <x:alignment vertical="center"/>
    </x:xf>
    <x:xf numFmtId="0" fontId="19" fillId="14" borderId="0" applyAlignment="1">
      <x:alignment vertical="center"/>
    </x:xf>
    <x:xf numFmtId="0" fontId="20" fillId="15" borderId="0" applyAlignment="1">
      <x:alignment vertical="center"/>
    </x:xf>
    <x:xf numFmtId="0" fontId="20" fillId="16" borderId="0" applyAlignment="1">
      <x:alignment vertical="center"/>
    </x:xf>
    <x:xf numFmtId="0" fontId="19" fillId="17" borderId="0" applyAlignment="1">
      <x:alignment vertical="center"/>
    </x:xf>
    <x:xf numFmtId="0" fontId="19" fillId="18" borderId="0" applyAlignment="1">
      <x:alignment vertical="center"/>
    </x:xf>
    <x:xf numFmtId="0" fontId="20" fillId="19" borderId="0" applyAlignment="1">
      <x:alignment vertical="center"/>
    </x:xf>
    <x:xf numFmtId="0" fontId="20" fillId="20" borderId="0" applyAlignment="1">
      <x:alignment vertical="center"/>
    </x:xf>
    <x:xf numFmtId="0" fontId="19" fillId="21" borderId="0" applyAlignment="1">
      <x:alignment vertical="center"/>
    </x:xf>
    <x:xf numFmtId="0" fontId="19" fillId="22" borderId="0" applyAlignment="1">
      <x:alignment vertical="center"/>
    </x:xf>
    <x:xf numFmtId="0" fontId="20" fillId="23" borderId="0" applyAlignment="1">
      <x:alignment vertical="center"/>
    </x:xf>
    <x:xf numFmtId="0" fontId="20" fillId="24" borderId="0" applyAlignment="1">
      <x:alignment vertical="center"/>
    </x:xf>
    <x:xf numFmtId="0" fontId="19" fillId="25" borderId="0" applyAlignment="1">
      <x:alignment vertical="center"/>
    </x:xf>
    <x:xf numFmtId="0" fontId="19" fillId="26" borderId="0" applyAlignment="1">
      <x:alignment vertical="center"/>
    </x:xf>
    <x:xf numFmtId="0" fontId="20" fillId="27" borderId="0" applyAlignment="1">
      <x:alignment vertical="center"/>
    </x:xf>
    <x:xf numFmtId="0" fontId="20" fillId="28" borderId="0" applyAlignment="1">
      <x:alignment vertical="center"/>
    </x:xf>
    <x:xf numFmtId="0" fontId="19" fillId="29" borderId="0" applyAlignment="1">
      <x:alignment vertical="center"/>
    </x:xf>
    <x:xf numFmtId="0" fontId="19" fillId="30" borderId="0" applyAlignment="1">
      <x:alignment vertical="center"/>
    </x:xf>
    <x:xf numFmtId="0" fontId="20" fillId="31" borderId="0" applyAlignment="1">
      <x:alignment vertical="center"/>
    </x:xf>
    <x:xf numFmtId="0" fontId="20" fillId="32" borderId="0" applyAlignment="1">
      <x:alignment vertical="center"/>
    </x:xf>
    <x:xf numFmtId="0" fontId="19" fillId="33" borderId="0" applyAlignment="1">
      <x:alignment vertical="center"/>
    </x:xf>
    <x:xf numFmtId="0" fontId="0" fillId="0" borderId="0"/>
  </x:cellStyleXfs>
  <x:cellXfs count="11">
    <x:xf numFmtId="0" fontId="0" fillId="0" borderId="0" xfId="49"/>
    <x:xf numFmtId="0" fontId="1" fillId="2" borderId="1" xfId="49" applyAlignment="1">
      <x:alignment vertical="center" wrapText="1"/>
    </x:xf>
    <x:xf numFmtId="0" fontId="0" fillId="0" borderId="0" xfId="49" applyAlignment="1">
      <x:alignment vertical="top" wrapText="1"/>
    </x:xf>
    <x:xf numFmtId="4" fontId="0" fillId="0" borderId="0" xfId="49" applyAlignment="1">
      <x:alignment vertical="top" wrapText="1"/>
    </x:xf>
    <x:xf numFmtId="11" fontId="0" fillId="0" borderId="0" xfId="49" applyAlignment="1">
      <x:alignment vertical="top" wrapText="1"/>
    </x:xf>
    <x:xf numFmtId="2" fontId="0" fillId="0" borderId="0" xfId="49" applyAlignment="1">
      <x:alignment vertical="top" wrapText="1"/>
    </x:xf>
    <x:xf numFmtId="0" fontId="0" fillId="0" borderId="0" xfId="0" applyAlignment="1">
      <x:alignment vertical="center"/>
    </x:xf>
    <x:xf numFmtId="164" fontId="0" fillId="0" borderId="0" xfId="49"/>
    <x:xf numFmtId="0" fontId="0" fillId="0" borderId="0" xfId="49"/>
    <x:xf numFmtId="0" fontId="0" fillId="0" borderId="0" xfId="0"/>
    <x:xf numFmtId="164" fontId="0" fillId="0" borderId="0" xfId="49"/>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5d398ac95bd43d8" /><Relationship Type="http://schemas.openxmlformats.org/officeDocument/2006/relationships/theme" Target="/xl/theme/theme1.xml" Id="R29feb3d98e394f9e" /><Relationship Type="http://schemas.openxmlformats.org/officeDocument/2006/relationships/sharedStrings" Target="/xl/sharedStrings.xml" Id="R0f25db5a7cac4d5b" /><Relationship Type="http://schemas.openxmlformats.org/officeDocument/2006/relationships/worksheet" Target="/xl/worksheets/sheet1.xml" Id="R2ce594f0d01f4306" /><Relationship Type="http://schemas.openxmlformats.org/officeDocument/2006/relationships/worksheet" Target="/xl/worksheets/sheet2.xml" Id="R7a25c4dfc5c2416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ColWidth="9" defaultRowHeight="14.399999618530273"/>
  <x:cols>
    <x:col min="1" max="1" width="66.44444274902344" style="9" customWidth="1"/>
    <x:col min="2" max="2" width="18" style="9" customWidth="1"/>
    <x:col min="3" max="3" width="22" style="9" customWidth="1"/>
    <x:col min="4" max="4" width="16" style="9" customWidth="1"/>
    <x:col min="5" max="5" width="14" style="9" customWidth="1"/>
    <x:col min="6" max="6" width="42" style="9" customWidth="1"/>
    <x:col min="7" max="7" width="14" style="9" customWidth="1"/>
    <x:col min="8" max="8" width="16" style="9" customWidth="1"/>
    <x:col min="9" max="9" width="25.22222137451172" style="9" customWidth="1"/>
    <x:col min="10" max="10" width="13" style="9" customWidth="1"/>
    <x:col min="11" max="11" width="13" style="9" customWidth="1"/>
    <x:col min="12" max="12" width="13" style="9" customWidth="1"/>
    <x:col min="13" max="13" width="13" style="9" customWidth="1"/>
    <x:col min="14" max="14" width="13" style="9" customWidth="1"/>
    <x:col min="15" max="15" width="13" style="9" customWidth="1"/>
    <x:col min="16" max="16" width="13" style="9" customWidth="1"/>
    <x:col min="17" max="17" width="13" style="9" customWidth="1"/>
    <x:col min="18" max="18" width="13" style="9" customWidth="1"/>
    <x:col min="19" max="19" width="13" style="9" customWidth="1"/>
    <x:col min="20" max="20" width="13" style="9" customWidth="1"/>
    <x:col min="21" max="21" width="13" style="9" customWidth="1"/>
    <x:col min="22" max="22" width="13" style="9" customWidth="1"/>
    <x:col min="23" max="23" width="13" style="9" customWidth="1"/>
    <x:col min="24" max="24" width="16" style="9" customWidth="1"/>
    <x:col min="25" max="25" width="13" style="9" customWidth="1"/>
    <x:col min="26" max="26" width="13" style="9" customWidth="1"/>
    <x:col min="27" max="27" width="13" style="9" customWidth="1"/>
    <x:col min="28" max="28" width="13" style="9" customWidth="1"/>
    <x:col min="29" max="29" width="13" style="9" customWidth="1"/>
    <x:col min="30" max="30" width="13" style="9" customWidth="1"/>
    <x:col min="31" max="31" width="13" style="9" customWidth="1"/>
    <x:col min="32" max="32" width="13" style="9" customWidth="1"/>
    <x:col min="33" max="33" width="48" style="9" customWidth="1"/>
    <x:col min="34" max="34" width="36" style="9" customWidth="1"/>
    <x:col min="35" max="35" width="52" style="9" customWidth="1"/>
    <x:col min="36" max="36" width="24" style="9" customWidth="1"/>
    <x:col min="37" max="37" width="13" style="9" customWidth="1"/>
    <x:col min="38" max="38" width="13" style="9" customWidth="1"/>
    <x:col min="39" max="39" width="13" style="9" customWidth="1"/>
    <x:col min="40" max="40" width="13" style="9" customWidth="1"/>
    <x:col min="41" max="41" width="13" style="9" customWidth="1"/>
  </x:cols>
  <x:sheetData>
    <x:row r="1" s="9" customFormat="1" ht="51" customHeight="1">
      <x:c r="A1" s="1" t="inlineStr">
        <x:is>
          <x:t xml:space="preserve">Hardware name</x:t>
        </x:is>
      </x:c>
      <x:c r="B1" s="1" t="inlineStr">
        <x:is>
          <x:t xml:space="preserve">Generation</x:t>
        </x:is>
      </x:c>
      <x:c r="C1" s="1" t="inlineStr">
        <x:is>
          <x:t xml:space="preserve">Family</x:t>
        </x:is>
      </x:c>
      <x:c r="D1" s="1" t="inlineStr">
        <x:is>
          <x:t xml:space="preserve">Manufacturer</x:t>
        </x:is>
      </x:c>
      <x:c r="E1" s="1" t="inlineStr">
        <x:is>
          <x:t xml:space="preserve">Type</x:t>
        </x:is>
      </x:c>
      <x:c r="F1" s="1" t="inlineStr">
        <x:is>
          <x:t xml:space="preserve">Notes</x:t>
        </x:is>
      </x:c>
      <x:c r="G1" s="1" t="inlineStr">
        <x:is>
          <x:t xml:space="preserve">Release date</x:t>
        </x:is>
      </x:c>
      <x:c r="H1" s="1" t="inlineStr">
        <x:is>
          <x:t xml:space="preserve">Release price (USD)</x:t>
        </x:is>
      </x:c>
      <x:c r="I1" s="1" t="inlineStr">
        <x:is>
          <x:t xml:space="preserve">Tensor-FP16/BF16 performance (FLOP/s)</x:t>
        </x:is>
      </x:c>
      <x:c r="J1" s="1" t="inlineStr">
        <x:is>
          <x:t xml:space="preserve">FP8 performance (FLOP/s)</x:t>
        </x:is>
      </x:c>
      <x:c r="K1" s="1" t="inlineStr">
        <x:is>
          <x:t xml:space="preserve">FP4 performance (FLOP/s)</x:t>
        </x:is>
      </x:c>
      <x:c r="L1" s="1" t="inlineStr">
        <x:is>
          <x:t xml:space="preserve">Memory (bytes)</x:t>
        </x:is>
      </x:c>
      <x:c r="M1" s="1" t="inlineStr">
        <x:is>
          <x:t xml:space="preserve">Memory bandwidth (byte/s)</x:t>
        </x:is>
      </x:c>
      <x:c r="N1" s="1" t="inlineStr">
        <x:is>
          <x:t xml:space="preserve">Intranode bandwidth (byte/s)</x:t>
        </x:is>
      </x:c>
      <x:c r="O1" s="1" t="inlineStr">
        <x:is>
          <x:t xml:space="preserve">Internode bandwidth (bit/s)</x:t>
        </x:is>
      </x:c>
      <x:c r="P1" s="1" t="inlineStr">
        <x:is>
          <x:t xml:space="preserve">TDP (W)</x:t>
        </x:is>
      </x:c>
      <x:c r="Q1" s="1" t="inlineStr">
        <x:is>
          <x:t xml:space="preserve">FP64 (double precision) performance (FLOP/s)</x:t>
        </x:is>
      </x:c>
      <x:c r="R1" s="1" t="inlineStr">
        <x:is>
          <x:t xml:space="preserve">FP32 (single precision) performance (FLOP/s)</x:t>
        </x:is>
      </x:c>
      <x:c r="S1" s="1" t="inlineStr">
        <x:is>
          <x:t xml:space="preserve">TF32 (TensorFloat-32) performance (FLOP/s)</x:t>
        </x:is>
      </x:c>
      <x:c r="T1" s="1" t="inlineStr">
        <x:is>
          <x:t xml:space="preserve">FP16 (half precision) performance (FLOP/s)</x:t>
        </x:is>
      </x:c>
      <x:c r="U1" s="1" t="inlineStr">
        <x:is>
          <x:t xml:space="preserve">INT16 performance (OP/s)</x:t>
        </x:is>
      </x:c>
      <x:c r="V1" s="1" t="inlineStr">
        <x:is>
          <x:t xml:space="preserve">INT8 performance (OP/s)</x:t>
        </x:is>
      </x:c>
      <x:c r="W1" s="1" t="inlineStr">
        <x:is>
          <x:t xml:space="preserve">INT4 performance (OP/s)</x:t>
        </x:is>
      </x:c>
      <x:c r="X1" s="1" t="inlineStr">
        <x:is>
          <x:t xml:space="preserve">Foundry</x:t>
        </x:is>
      </x:c>
      <x:c r="Y1" s="1" t="inlineStr">
        <x:is>
          <x:t xml:space="preserve">Die Size (mm^2)</x:t>
        </x:is>
      </x:c>
      <x:c r="Z1" s="1" t="inlineStr">
        <x:is>
          <x:t xml:space="preserve">Base clock (MHz)</x:t>
        </x:is>
      </x:c>
      <x:c r="AA1" s="1" t="inlineStr">
        <x:is>
          <x:t xml:space="preserve">Boost clock (MHz)</x:t>
        </x:is>
      </x:c>
      <x:c r="AB1" s="1" t="inlineStr">
        <x:is>
          <x:t xml:space="preserve">Memory clock (MHz)</x:t>
        </x:is>
      </x:c>
      <x:c r="AC1" s="1" t="inlineStr">
        <x:is>
          <x:t xml:space="preserve">Memory bus (bit)</x:t>
        </x:is>
      </x:c>
      <x:c r="AD1" s="1" t="inlineStr">
        <x:is>
          <x:t xml:space="preserve">Tensor cores</x:t>
        </x:is>
      </x:c>
      <x:c r="AE1" s="1" t="inlineStr">
        <x:is>
          <x:t xml:space="preserve">Process size (nm)</x:t>
        </x:is>
      </x:c>
      <x:c r="AF1" s="1" t="inlineStr">
        <x:is>
          <x:t xml:space="preserve">Transistors (millions)</x:t>
        </x:is>
      </x:c>
      <x:c r="AG1" s="1" t="inlineStr">
        <x:is>
          <x:t xml:space="preserve">Link to datasheet</x:t>
        </x:is>
      </x:c>
      <x:c r="AH1" s="1" t="inlineStr">
        <x:is>
          <x:t xml:space="preserve">Source for the price</x:t>
        </x:is>
      </x:c>
      <x:c r="AI1" s="1" t="inlineStr">
        <x:is>
          <x:t xml:space="preserve">ML models</x:t>
        </x:is>
      </x:c>
      <x:c r="AJ1" s="1" t="inlineStr">
        <x:is>
          <x:t xml:space="preserve">Last modified</x:t>
        </x:is>
      </x:c>
      <x:c r="AK1" s="1" t="inlineStr">
        <x:is>
          <x:t xml:space="preserve">Max performance</x:t>
        </x:is>
      </x:c>
      <x:c r="AL1" s="1" t="inlineStr">
        <x:is>
          <x:t xml:space="preserve">Energy efficiency</x:t>
        </x:is>
      </x:c>
      <x:c r="AM1" s="1" t="inlineStr">
        <x:is>
          <x:t xml:space="preserve">Total processing performance (bit-OP/s)</x:t>
        </x:is>
      </x:c>
      <x:c r="AN1" s="1" t="inlineStr">
        <x:is>
          <x:t xml:space="preserve">Price-performance</x:t>
        </x:is>
      </x:c>
      <x:c r="AO1" s="1" t="inlineStr">
        <x:is>
          <x:t xml:space="preserve">ML OP/s</x:t>
        </x:is>
      </x:c>
    </x:row>
    <x:row r="2">
      <x:c r="A2" s="2" t="inlineStr">
        <x:is>
          <x:t xml:space="preserve">NVIDIA RTX A4500</x:t>
        </x:is>
      </x:c>
      <x:c r="B2" s="2" t="str">
        <x:f>IFERROR(VLOOKUP(TRIM($A2),_classification_map!$A$2:$C$227,2,FALSE),"")</x:f>
        <x:v>Ampere</x:v>
      </x:c>
      <x:c r="C2" s="2" t="str">
        <x:f>IFERROR(VLOOKUP(TRIM($A2),_classification_map!$A$2:$C$227,3,FALSE),"")</x:f>
        <x:v>RTX Workstation</x:v>
      </x:c>
      <x:c r="D2" s="2" t="inlineStr">
        <x:is>
          <x:t xml:space="preserve">NVIDIA</x:t>
        </x:is>
      </x:c>
      <x:c r="E2" s="2" t="inlineStr">
        <x:is>
          <x:t xml:space="preserve">GPU</x:t>
        </x:is>
      </x:c>
      <x:c r="F2" s="2" t="n"/>
      <x:c r="G2" s="2" t="n"/>
      <x:c r="H2" s="3" t="n"/>
      <x:c r="I2" s="4" t="n">
        <x:v>95000000000000</x:v>
      </x:c>
      <x:c r="J2" s="4" t="n"/>
      <x:c r="K2" s="4" t="n"/>
      <x:c r="L2" s="4" t="n">
        <x:v>20000000000</x:v>
      </x:c>
      <x:c r="M2" s="4" t="n"/>
      <x:c r="N2" s="4" t="n"/>
      <x:c r="O2" s="4" t="n"/>
      <x:c r="P2" s="5" t="n">
        <x:v>200</x:v>
      </x:c>
      <x:c r="Q2" s="4" t="n"/>
      <x:c r="R2" s="4" t="n"/>
      <x:c r="S2" s="4" t="n"/>
      <x:c r="T2" s="4" t="n"/>
      <x:c r="U2" s="4" t="n"/>
      <x:c r="V2" s="4" t="n"/>
      <x:c r="W2" s="4" t="n"/>
      <x:c r="X2" s="2" t="n"/>
      <x:c r="Y2" s="5" t="n"/>
      <x:c r="Z2" s="5" t="n"/>
      <x:c r="AA2" s="5" t="n"/>
      <x:c r="AB2" s="5" t="n"/>
      <x:c r="AC2" s="5" t="n"/>
      <x:c r="AD2" s="5" t="n"/>
      <x:c r="AE2" s="5" t="n"/>
      <x:c r="AF2" s="5" t="n"/>
      <x:c r="AG2" s="2" t="n"/>
      <x:c r="AH2" s="2" t="n"/>
      <x:c r="AI2" s="2" t="n"/>
      <x:c r="AJ2" s="2" t="n"/>
      <x:c r="AK2" s="4" t="n"/>
      <x:c r="AL2" s="4" t="n"/>
      <x:c r="AM2" s="4" t="n"/>
      <x:c r="AN2" s="4" t="n"/>
      <x:c r="AO2" s="4" t="n"/>
    </x:row>
    <x:row r="3" s="9" customFormat="1" ht="28.799999237060547" customHeight="1">
      <x:c r="A3" s="2" t="inlineStr">
        <x:is>
          <x:t xml:space="preserve">Google TPU v1</x:t>
        </x:is>
      </x:c>
      <x:c r="B3" s="2" t="str">
        <x:f>IFERROR(VLOOKUP(TRIM($A3),_classification_map!$A$2:$C$227,2,FALSE),"")</x:f>
        <x:v>TPU v1</x:v>
      </x:c>
      <x:c r="C3" s="2" t="str">
        <x:f>IFERROR(VLOOKUP(TRIM($A3),_classification_map!$A$2:$C$227,3,FALSE),"")</x:f>
        <x:v>TPU</x:v>
      </x:c>
      <x:c r="D3" s="2" t="inlineStr">
        <x:is>
          <x:t xml:space="preserve">Google</x:t>
        </x:is>
      </x:c>
      <x:c r="E3" s="2" t="inlineStr">
        <x:is>
          <x:t xml:space="preserve">TPU</x:t>
        </x:is>
      </x:c>
      <x:c r="F3" s="2" t="n"/>
      <x:c r="G3" s="2" t="inlineStr">
        <x:is>
          <x:t xml:space="preserve">2015-05-15</x:t>
        </x:is>
      </x:c>
      <x:c r="H3" s="3" t="n"/>
      <x:c r="I3" s="4" t="n"/>
      <x:c r="J3" s="4" t="n"/>
      <x:c r="K3" s="4" t="n"/>
      <x:c r="L3" s="4" t="n">
        <x:v>8589934592</x:v>
      </x:c>
      <x:c r="M3" s="4" t="n">
        <x:v>34000000000</x:v>
      </x:c>
      <x:c r="N3" s="4" t="n"/>
      <x:c r="O3" s="4" t="n"/>
      <x:c r="P3" s="5" t="n">
        <x:v>75</x:v>
      </x:c>
      <x:c r="Q3" s="4" t="n"/>
      <x:c r="R3" s="4" t="n"/>
      <x:c r="S3" s="4" t="n"/>
      <x:c r="T3" s="4" t="n"/>
      <x:c r="U3" s="4" t="n"/>
      <x:c r="V3" s="4" t="n">
        <x:v>92000000000000</x:v>
      </x:c>
      <x:c r="W3" s="4" t="n"/>
      <x:c r="X3" s="2" t="n"/>
      <x:c r="Y3" s="5" t="n">
        <x:v>331</x:v>
      </x:c>
      <x:c r="Z3" s="5" t="n">
        <x:v>700</x:v>
      </x:c>
      <x:c r="AA3" s="5" t="n"/>
      <x:c r="AB3" s="5" t="n"/>
      <x:c r="AC3" s="5" t="n"/>
      <x:c r="AD3" s="5" t="n"/>
      <x:c r="AE3" s="5" t="n">
        <x:v>28</x:v>
      </x:c>
      <x:c r="AF3" s="5" t="n"/>
      <x:c r="AG3" s="2" t="inlineStr">
        <x:is>
          <x:t xml:space="preserve">https://ieeexplore.ieee.org/stamp/stamp.jsp?tp=&amp;arnumber=9499913</x:t>
        </x:is>
      </x:c>
      <x:c r="AH3" s="2" t="n"/>
      <x:c r="AI3" s="2" t="inlineStr">
        <x:is>
          <x:t xml:space="preserve">AlphaGo Master,AlphaGo Zero,AlphaZero</x:t>
        </x:is>
      </x:c>
      <x:c r="AJ3" s="2" t="inlineStr">
        <x:is>
          <x:t xml:space="preserve">2026-03-18 12:56:18+00:00</x:t>
        </x:is>
      </x:c>
      <x:c r="AK3" s="4" t="n">
        <x:v>92000000000000</x:v>
      </x:c>
      <x:c r="AL3" s="4" t="n">
        <x:v>1226666666666.67</x:v>
      </x:c>
      <x:c r="AM3" s="4" t="n">
        <x:v>736000000000000</x:v>
      </x:c>
      <x:c r="AN3" s="4" t="n"/>
      <x:c r="AO3" s="4" t="n">
        <x:v>92000000000000</x:v>
      </x:c>
    </x:row>
    <x:row r="4" s="9" customFormat="1" ht="100.80000305175781" customHeight="1">
      <x:c r="A4" s="2" t="inlineStr">
        <x:is>
          <x:t xml:space="preserve">Cambricon MLU270-F4</x:t>
        </x:is>
      </x:c>
      <x:c r="B4" s="2" t="str">
        <x:f>IFERROR(VLOOKUP(TRIM($A4),_classification_map!$A$2:$C$227,2,FALSE),"")</x:f>
        <x:v>MLU270</x:v>
      </x:c>
      <x:c r="C4" s="2" t="str">
        <x:f>IFERROR(VLOOKUP(TRIM($A4),_classification_map!$A$2:$C$227,3,FALSE),"")</x:f>
        <x:v>MLU</x:v>
      </x:c>
      <x:c r="D4" s="2" t="inlineStr">
        <x:is>
          <x:t xml:space="preserve">Cambricon</x:t>
        </x:is>
      </x:c>
      <x:c r="E4" s="2" t="inlineStr">
        <x:is>
          <x:t xml:space="preserve">ASIC</x:t>
        </x:is>
      </x:c>
      <x:c r="F4" s="2" t="inlineStr">
        <x:is>
          <x:t xml:space="preserve">https://www.cambricon.com/index.php?m=content&amp;c=index&amp;a=lists&amp;catid=37 
https://archive.ph/xX1FH
https://www.cambricon.com/index.php?m=content&amp;c=index&amp;a=show&amp;catid=127&amp;id=27
https://archive.ph/zaZBg</x:t>
        </x:is>
      </x:c>
      <x:c r="G4" s="2" t="inlineStr">
        <x:is>
          <x:t xml:space="preserve">2019-06-20</x:t>
        </x:is>
      </x:c>
      <x:c r="H4" s="3" t="n">
        <x:v>2080</x:v>
      </x:c>
      <x:c r="I4" s="4" t="n"/>
      <x:c r="J4" s="4" t="n"/>
      <x:c r="K4" s="4" t="n"/>
      <x:c r="L4" s="4" t="n">
        <x:v>16000000000</x:v>
      </x:c>
      <x:c r="M4" s="4" t="n">
        <x:v>102000000000</x:v>
      </x:c>
      <x:c r="N4" s="4" t="n"/>
      <x:c r="O4" s="4" t="n"/>
      <x:c r="P4" s="5" t="n">
        <x:v>150</x:v>
      </x:c>
      <x:c r="Q4" s="4" t="n"/>
      <x:c r="R4" s="4" t="n"/>
      <x:c r="S4" s="4" t="n"/>
      <x:c r="T4" s="4" t="n"/>
      <x:c r="U4" s="4" t="n">
        <x:v>64000000000000</x:v>
      </x:c>
      <x:c r="V4" s="4" t="n">
        <x:v>128000000000000</x:v>
      </x:c>
      <x:c r="W4" s="4" t="n">
        <x:v>256000000000000</x:v>
      </x:c>
      <x:c r="X4" s="2" t="n"/>
      <x:c r="Y4" s="5" t="n"/>
      <x:c r="Z4" s="5" t="n"/>
      <x:c r="AA4" s="5" t="n"/>
      <x:c r="AB4" s="5" t="n"/>
      <x:c r="AC4" s="5" t="n"/>
      <x:c r="AD4" s="5" t="n"/>
      <x:c r="AE4" s="5" t="n"/>
      <x:c r="AF4" s="5" t="n"/>
      <x:c r="AG4" s="2" t="n"/>
      <x:c r="AH4" s="2" t="n"/>
      <x:c r="AI4" s="2" t="n"/>
      <x:c r="AJ4" s="2" t="inlineStr">
        <x:is>
          <x:t xml:space="preserve">2025-07-21 09:24:01+00:00</x:t>
        </x:is>
      </x:c>
      <x:c r="AK4" s="4" t="n">
        <x:v>256000000000000</x:v>
      </x:c>
      <x:c r="AL4" s="4" t="n">
        <x:v>1706666666666.67</x:v>
      </x:c>
      <x:c r="AM4" s="4" t="n">
        <x:v>1024000000000000</x:v>
      </x:c>
      <x:c r="AN4" s="4" t="n">
        <x:v>61538461538.4615</x:v>
      </x:c>
      <x:c r="AO4" s="4" t="n">
        <x:v>128000000000000</x:v>
      </x:c>
    </x:row>
    <x:row r="5" s="9" customFormat="1" ht="43.20000076293945" customHeight="1">
      <x:c r="A5" s="2" t="inlineStr">
        <x:is>
          <x:t xml:space="preserve">NVIDIA GeForce RTX 3070 Ti</x:t>
        </x:is>
      </x:c>
      <x:c r="B5" s="2" t="str">
        <x:f>IFERROR(VLOOKUP(TRIM($A5),_classification_map!$A$2:$C$227,2,FALSE),"")</x:f>
        <x:v>Ampere</x:v>
      </x:c>
      <x:c r="C5" s="2" t="str">
        <x:f>IFERROR(VLOOKUP(TRIM($A5),_classification_map!$A$2:$C$227,3,FALSE),"")</x:f>
        <x:v>GeForce RTX</x:v>
      </x:c>
      <x:c r="D5" s="2" t="inlineStr">
        <x:is>
          <x:t xml:space="preserve">NVIDIA</x:t>
        </x:is>
      </x:c>
      <x:c r="E5" s="2" t="inlineStr">
        <x:is>
          <x:t xml:space="preserve">GPU</x:t>
        </x:is>
      </x:c>
      <x:c r="F5" s="2" t="inlineStr">
        <x:is>
          <x:t xml:space="preserve">Ampere; desktop graphics card</x:t>
        </x:is>
      </x:c>
      <x:c r="G5" s="2" t="inlineStr">
        <x:is>
          <x:t xml:space="preserve">2021-06-10</x:t>
        </x:is>
      </x:c>
      <x:c r="H5" s="3" t="n">
        <x:v>599</x:v>
      </x:c>
      <x:c r="I5" s="4" t="n">
        <x:v>87000000000000</x:v>
      </x:c>
      <x:c r="J5" s="4" t="n"/>
      <x:c r="K5" s="4" t="n"/>
      <x:c r="L5" s="4" t="n">
        <x:v>8589934592</x:v>
      </x:c>
      <x:c r="M5" s="4" t="n">
        <x:v>608000000000</x:v>
      </x:c>
      <x:c r="N5" s="4" t="n"/>
      <x:c r="O5" s="4" t="n"/>
      <x:c r="P5" s="5" t="n">
        <x:v>290</x:v>
      </x:c>
      <x:c r="Q5" s="4" t="n"/>
      <x:c r="R5" s="4" t="n">
        <x:v>21749760000000</x:v>
      </x:c>
      <x:c r="S5" s="4" t="n"/>
      <x:c r="T5" s="4" t="n"/>
      <x:c r="U5" s="4" t="n"/>
      <x:c r="V5" s="4" t="n"/>
      <x:c r="W5" s="4" t="n"/>
      <x:c r="X5" s="2" t="inlineStr">
        <x:is>
          <x:t xml:space="preserve">Samsung</x:t>
        </x:is>
      </x:c>
      <x:c r="Y5" s="5" t="n">
        <x:v>392</x:v>
      </x:c>
      <x:c r="Z5" s="5" t="n">
        <x:v>1580</x:v>
      </x:c>
      <x:c r="AA5" s="5" t="n">
        <x:v>1770</x:v>
      </x:c>
      <x:c r="AB5" s="5" t="n">
        <x:v>1188</x:v>
      </x:c>
      <x:c r="AC5" s="5" t="n">
        <x:v>256</x:v>
      </x:c>
      <x:c r="AD5" s="5" t="n"/>
      <x:c r="AE5" s="5" t="n">
        <x:v>8</x:v>
      </x:c>
      <x:c r="AF5" s="5" t="n">
        <x:v>17400</x:v>
      </x:c>
      <x:c r="AG5" s="2" t="inlineStr">
        <x:is>
          <x:t xml:space="preserve">https://www.nvidia.com/en-us/geforce/graphics-cards/30-series/rtx-3070-3070ti/</x:t>
        </x:is>
      </x:c>
      <x:c r="AH5" s="2" t="inlineStr">
        <x:is>
          <x:t xml:space="preserve">https://www.nvidia.com/en-sg/geforce/news/rtx-3080-ti-3070-ti-graphics-cards/</x:t>
        </x:is>
      </x:c>
      <x:c r="AI5" s="2" t="n"/>
      <x:c r="AJ5" s="2" t="n"/>
      <x:c r="AK5" s="4" t="n"/>
      <x:c r="AL5" s="4" t="n"/>
      <x:c r="AM5" s="4" t="n"/>
      <x:c r="AN5" s="4" t="n"/>
      <x:c r="AO5" s="4" t="n"/>
    </x:row>
    <x:row r="6" s="9" customFormat="1" ht="43.20000076293945" customHeight="1">
      <x:c r="A6" s="2" t="inlineStr">
        <x:is>
          <x:t xml:space="preserve">Cambricon MLU270-S4</x:t>
        </x:is>
      </x:c>
      <x:c r="B6" s="2" t="str">
        <x:f>IFERROR(VLOOKUP(TRIM($A6),_classification_map!$A$2:$C$227,2,FALSE),"")</x:f>
        <x:v>MLU270</x:v>
      </x:c>
      <x:c r="C6" s="2" t="str">
        <x:f>IFERROR(VLOOKUP(TRIM($A6),_classification_map!$A$2:$C$227,3,FALSE),"")</x:f>
        <x:v>MLU</x:v>
      </x:c>
      <x:c r="D6" s="2" t="inlineStr">
        <x:is>
          <x:t xml:space="preserve">Cambricon</x:t>
        </x:is>
      </x:c>
      <x:c r="E6" s="2" t="inlineStr">
        <x:is>
          <x:t xml:space="preserve">ASIC</x:t>
        </x:is>
      </x:c>
      <x:c r="F6" s="2" t="inlineStr">
        <x:is>
          <x:t xml:space="preserve">https://www.cambricon.com/index.php?m=content&amp;c=index&amp;a=lists&amp;catid=36
https://archive.ph/Vv13F</x:t>
        </x:is>
      </x:c>
      <x:c r="G6" s="2" t="inlineStr">
        <x:is>
          <x:t xml:space="preserve">2019-06-20</x:t>
        </x:is>
      </x:c>
      <x:c r="H6" s="3" t="n"/>
      <x:c r="I6" s="4" t="n"/>
      <x:c r="J6" s="4" t="n"/>
      <x:c r="K6" s="4" t="n"/>
      <x:c r="L6" s="4" t="n">
        <x:v>16000000000</x:v>
      </x:c>
      <x:c r="M6" s="4" t="n">
        <x:v>102000000000</x:v>
      </x:c>
      <x:c r="N6" s="4" t="n"/>
      <x:c r="O6" s="4" t="n"/>
      <x:c r="P6" s="5" t="n">
        <x:v>70</x:v>
      </x:c>
      <x:c r="Q6" s="4" t="n"/>
      <x:c r="R6" s="4" t="n"/>
      <x:c r="S6" s="4" t="n"/>
      <x:c r="T6" s="4" t="n"/>
      <x:c r="U6" s="4" t="n">
        <x:v>64000000000000</x:v>
      </x:c>
      <x:c r="V6" s="4" t="n">
        <x:v>128000000000000</x:v>
      </x:c>
      <x:c r="W6" s="4" t="n">
        <x:v>256000000000000</x:v>
      </x:c>
      <x:c r="X6" s="2" t="n"/>
      <x:c r="Y6" s="5" t="n"/>
      <x:c r="Z6" s="5" t="n"/>
      <x:c r="AA6" s="5" t="n"/>
      <x:c r="AB6" s="5" t="n"/>
      <x:c r="AC6" s="5" t="n"/>
      <x:c r="AD6" s="5" t="n"/>
      <x:c r="AE6" s="5" t="n"/>
      <x:c r="AF6" s="5" t="n"/>
      <x:c r="AG6" s="2" t="n"/>
      <x:c r="AH6" s="2" t="n"/>
      <x:c r="AI6" s="2" t="n"/>
      <x:c r="AJ6" s="2" t="inlineStr">
        <x:is>
          <x:t xml:space="preserve">2025-07-21 09:24:01+00:00</x:t>
        </x:is>
      </x:c>
      <x:c r="AK6" s="4" t="n">
        <x:v>256000000000000</x:v>
      </x:c>
      <x:c r="AL6" s="4" t="n">
        <x:v>3657142857142.86</x:v>
      </x:c>
      <x:c r="AM6" s="4" t="n">
        <x:v>1024000000000000</x:v>
      </x:c>
      <x:c r="AN6" s="4" t="n"/>
      <x:c r="AO6" s="4" t="n">
        <x:v>128000000000000</x:v>
      </x:c>
    </x:row>
    <x:row r="7" s="9" customFormat="1" ht="28.799999237060547" customHeight="1">
      <x:c r="A7" s="2" t="inlineStr">
        <x:is>
          <x:t xml:space="preserve">PEZY-SC2</x:t>
        </x:is>
      </x:c>
      <x:c r="B7" s="2" t="str">
        <x:f>IFERROR(VLOOKUP(TRIM($A7),_classification_map!$A$2:$C$227,2,FALSE),"")</x:f>
        <x:v>SC2</x:v>
      </x:c>
      <x:c r="C7" s="2" t="str">
        <x:f>IFERROR(VLOOKUP(TRIM($A7),_classification_map!$A$2:$C$227,3,FALSE),"")</x:f>
        <x:v>PEZY-SC</x:v>
      </x:c>
      <x:c r="D7" s="2" t="inlineStr">
        <x:is>
          <x:t xml:space="preserve">PEZY</x:t>
        </x:is>
      </x:c>
      <x:c r="E7" s="2" t="n"/>
      <x:c r="F7" s="2" t="n"/>
      <x:c r="G7" s="2" t="inlineStr">
        <x:is>
          <x:t xml:space="preserve">2017-06-01</x:t>
        </x:is>
      </x:c>
      <x:c r="H7" s="3" t="n"/>
      <x:c r="I7" s="4" t="n"/>
      <x:c r="J7" s="4" t="n"/>
      <x:c r="K7" s="4" t="n"/>
      <x:c r="L7" s="4" t="n"/>
      <x:c r="M7" s="4" t="n">
        <x:v>102377186750</x:v>
      </x:c>
      <x:c r="N7" s="4" t="n"/>
      <x:c r="O7" s="4" t="n"/>
      <x:c r="P7" s="5" t="n">
        <x:v>180</x:v>
      </x:c>
      <x:c r="Q7" s="4" t="n">
        <x:v>4100000000000</x:v>
      </x:c>
      <x:c r="R7" s="4" t="n">
        <x:v>8192000000000</x:v>
      </x:c>
      <x:c r="S7" s="4" t="n"/>
      <x:c r="T7" s="4" t="n">
        <x:v>16040000000000</x:v>
      </x:c>
      <x:c r="U7" s="4" t="n"/>
      <x:c r="V7" s="4" t="n"/>
      <x:c r="W7" s="4" t="n"/>
      <x:c r="X7" s="2" t="inlineStr">
        <x:is>
          <x:t xml:space="preserve">TSMC</x:t>
        </x:is>
      </x:c>
      <x:c r="Y7" s="5" t="n"/>
      <x:c r="Z7" s="5" t="n"/>
      <x:c r="AA7" s="5" t="n"/>
      <x:c r="AB7" s="5" t="n"/>
      <x:c r="AC7" s="5" t="n"/>
      <x:c r="AD7" s="5" t="n"/>
      <x:c r="AE7" s="5" t="n">
        <x:v>16</x:v>
      </x:c>
      <x:c r="AF7" s="5" t="n"/>
      <x:c r="AG7" s="2" t="inlineStr">
        <x:is>
          <x:t xml:space="preserve">https://archive.ph/yiqZG
https://en.wikichip.org/wiki/pezy/pezy-scx/pezy-sc2</x:t>
        </x:is>
      </x:c>
      <x:c r="AH7" s="2" t="n"/>
      <x:c r="AI7" s="2" t="n"/>
      <x:c r="AJ7" s="2" t="inlineStr">
        <x:is>
          <x:t xml:space="preserve">2025-07-21 09:55:44+00:00</x:t>
        </x:is>
      </x:c>
      <x:c r="AK7" s="4" t="n">
        <x:v>16040000000000</x:v>
      </x:c>
      <x:c r="AL7" s="4" t="n">
        <x:v>89111111111.1111</x:v>
      </x:c>
      <x:c r="AM7" s="4" t="n">
        <x:v>262400000000000</x:v>
      </x:c>
      <x:c r="AN7" s="4" t="n"/>
      <x:c r="AO7" s="4" t="n">
        <x:v>16040000000000</x:v>
      </x:c>
    </x:row>
    <x:row r="8" s="9" customFormat="1" ht="28.799999237060547" customHeight="1">
      <x:c r="A8" s="2" t="inlineStr">
        <x:is>
          <x:t xml:space="preserve">NVIDIA Tesla P4</x:t>
        </x:is>
      </x:c>
      <x:c r="B8" s="2" t="str">
        <x:f>IFERROR(VLOOKUP(TRIM($A8),_classification_map!$A$2:$C$227,2,FALSE),"")</x:f>
        <x:v>Pascal</x:v>
      </x:c>
      <x:c r="C8" s="2" t="str">
        <x:f>IFERROR(VLOOKUP(TRIM($A8),_classification_map!$A$2:$C$227,3,FALSE),"")</x:f>
        <x:v>Tesla</x:v>
      </x:c>
      <x:c r="D8" s="2" t="inlineStr">
        <x:is>
          <x:t xml:space="preserve">NVIDIA</x:t>
        </x:is>
      </x:c>
      <x:c r="E8" s="2" t="inlineStr">
        <x:is>
          <x:t xml:space="preserve">GPU</x:t>
        </x:is>
      </x:c>
      <x:c r="F8" s="2" t="n"/>
      <x:c r="G8" s="2" t="inlineStr">
        <x:is>
          <x:t xml:space="preserve">2016-09-13</x:t>
        </x:is>
      </x:c>
      <x:c r="H8" s="3" t="n"/>
      <x:c r="I8" s="4" t="n"/>
      <x:c r="J8" s="4" t="n"/>
      <x:c r="K8" s="4" t="n"/>
      <x:c r="L8" s="4" t="n">
        <x:v>8000000000</x:v>
      </x:c>
      <x:c r="M8" s="4" t="n">
        <x:v>192300000000</x:v>
      </x:c>
      <x:c r="N8" s="4" t="n"/>
      <x:c r="O8" s="4" t="n"/>
      <x:c r="P8" s="5" t="n">
        <x:v>75</x:v>
      </x:c>
      <x:c r="Q8" s="4" t="n">
        <x:v>178200000000</x:v>
      </x:c>
      <x:c r="R8" s="4" t="n">
        <x:v>5704000000000</x:v>
      </x:c>
      <x:c r="S8" s="4" t="n"/>
      <x:c r="T8" s="4" t="n">
        <x:v>89120000000</x:v>
      </x:c>
      <x:c r="U8" s="4" t="n"/>
      <x:c r="V8" s="4" t="n">
        <x:v>22000000000000</x:v>
      </x:c>
      <x:c r="W8" s="4" t="n"/>
      <x:c r="X8" s="2" t="inlineStr">
        <x:is>
          <x:t xml:space="preserve">TSMC</x:t>
        </x:is>
      </x:c>
      <x:c r="Y8" s="5" t="n">
        <x:v>314</x:v>
      </x:c>
      <x:c r="Z8" s="5" t="n">
        <x:v>886</x:v>
      </x:c>
      <x:c r="AA8" s="5" t="n">
        <x:v>1114</x:v>
      </x:c>
      <x:c r="AB8" s="5" t="n">
        <x:v>1502</x:v>
      </x:c>
      <x:c r="AC8" s="5" t="n">
        <x:v>256</x:v>
      </x:c>
      <x:c r="AD8" s="5" t="n"/>
      <x:c r="AE8" s="5" t="n">
        <x:v>16</x:v>
      </x:c>
      <x:c r="AF8" s="5" t="n">
        <x:v>7200</x:v>
      </x:c>
      <x:c r="AG8" s="2" t="inlineStr">
        <x:is>
          <x:t xml:space="preserve">https://www.techpowerup.com/gpu-specs/tesla-p4.c2879</x:t>
        </x:is>
      </x:c>
      <x:c r="AH8" s="2" t="n"/>
      <x:c r="AI8" s="2" t="n"/>
      <x:c r="AJ8" s="2" t="inlineStr">
        <x:is>
          <x:t xml:space="preserve">2025-07-21 09:56:20+00:00</x:t>
        </x:is>
      </x:c>
      <x:c r="AK8" s="4" t="n">
        <x:v>22000000000000</x:v>
      </x:c>
      <x:c r="AL8" s="4" t="n">
        <x:v>293333333333.333</x:v>
      </x:c>
      <x:c r="AM8" s="4" t="n">
        <x:v>182528000000000</x:v>
      </x:c>
      <x:c r="AN8" s="4" t="n"/>
      <x:c r="AO8" s="4" t="n">
        <x:v>22000000000000</x:v>
      </x:c>
    </x:row>
    <x:row r="9" s="9" customFormat="1" ht="28.799999237060547" customHeight="1">
      <x:c r="A9" s="2" t="inlineStr">
        <x:is>
          <x:t xml:space="preserve">NVIDIA Tesla K20c</x:t>
        </x:is>
      </x:c>
      <x:c r="B9" s="2" t="str">
        <x:f>IFERROR(VLOOKUP(TRIM($A9),_classification_map!$A$2:$C$227,2,FALSE),"")</x:f>
        <x:v>Kepler</x:v>
      </x:c>
      <x:c r="C9" s="2" t="str">
        <x:f>IFERROR(VLOOKUP(TRIM($A9),_classification_map!$A$2:$C$227,3,FALSE),"")</x:f>
        <x:v>Tesla</x:v>
      </x:c>
      <x:c r="D9" s="2" t="inlineStr">
        <x:is>
          <x:t xml:space="preserve">NVIDIA</x:t>
        </x:is>
      </x:c>
      <x:c r="E9" s="2" t="inlineStr">
        <x:is>
          <x:t xml:space="preserve">GPU</x:t>
        </x:is>
      </x:c>
      <x:c r="F9" s="2" t="n"/>
      <x:c r="G9" s="2" t="inlineStr">
        <x:is>
          <x:t xml:space="preserve">2012-11-12</x:t>
        </x:is>
      </x:c>
      <x:c r="H9" s="3" t="n">
        <x:v>3199</x:v>
      </x:c>
      <x:c r="I9" s="4" t="n"/>
      <x:c r="J9" s="4" t="n"/>
      <x:c r="K9" s="4" t="n"/>
      <x:c r="L9" s="4" t="n">
        <x:v>5000000000</x:v>
      </x:c>
      <x:c r="M9" s="4" t="n">
        <x:v>208000000000</x:v>
      </x:c>
      <x:c r="N9" s="4" t="n"/>
      <x:c r="O9" s="4" t="n"/>
      <x:c r="P9" s="5" t="n">
        <x:v>225</x:v>
      </x:c>
      <x:c r="Q9" s="4" t="n">
        <x:v>1170000000000</x:v>
      </x:c>
      <x:c r="R9" s="4" t="n">
        <x:v>3520000000000</x:v>
      </x:c>
      <x:c r="S9" s="4" t="n"/>
      <x:c r="T9" s="4" t="n"/>
      <x:c r="U9" s="4" t="n"/>
      <x:c r="V9" s="4" t="n"/>
      <x:c r="W9" s="4" t="n"/>
      <x:c r="X9" s="2" t="inlineStr">
        <x:is>
          <x:t xml:space="preserve">TSMC</x:t>
        </x:is>
      </x:c>
      <x:c r="Y9" s="5" t="n">
        <x:v>561</x:v>
      </x:c>
      <x:c r="Z9" s="5" t="n">
        <x:v>706</x:v>
      </x:c>
      <x:c r="AA9" s="5" t="n"/>
      <x:c r="AB9" s="5" t="n">
        <x:v>1300</x:v>
      </x:c>
      <x:c r="AC9" s="5" t="n">
        <x:v>320</x:v>
      </x:c>
      <x:c r="AD9" s="5" t="n"/>
      <x:c r="AE9" s="5" t="n">
        <x:v>28</x:v>
      </x:c>
      <x:c r="AF9" s="5" t="n">
        <x:v>7080</x:v>
      </x:c>
      <x:c r="AG9" s="2" t="inlineStr">
        <x:is>
          <x:t xml:space="preserve">https://www.techpowerup.com/gpu-specs/tesla-k20c.c564</x:t>
        </x:is>
      </x:c>
      <x:c r="AH9" s="2" t="n"/>
      <x:c r="AI9" s="2" t="inlineStr">
        <x:is>
          <x:t xml:space="preserve">Large regularized LSTM</x:t>
        </x:is>
      </x:c>
      <x:c r="AJ9" s="2" t="inlineStr">
        <x:is>
          <x:t xml:space="preserve">2026-03-18 12:56:18+00:00</x:t>
        </x:is>
      </x:c>
      <x:c r="AK9" s="4" t="n">
        <x:v>3520000000000</x:v>
      </x:c>
      <x:c r="AL9" s="4" t="n">
        <x:v>15644444444.4444</x:v>
      </x:c>
      <x:c r="AM9" s="4" t="n">
        <x:v>112640000000000</x:v>
      </x:c>
      <x:c r="AN9" s="4" t="n">
        <x:v>1100343857.45546</x:v>
      </x:c>
      <x:c r="AO9" s="4" t="n">
        <x:v>3520000000000</x:v>
      </x:c>
    </x:row>
    <x:row r="10" s="9" customFormat="1" ht="129.60000610351562" customHeight="1">
      <x:c r="A10" s="2" t="inlineStr">
        <x:is>
          <x:t xml:space="preserve">NVIDIA GB300 (Blackwell Ultra)</x:t>
        </x:is>
      </x:c>
      <x:c r="B10" s="2" t="str">
        <x:f>IFERROR(VLOOKUP(TRIM($A10),_classification_map!$A$2:$C$227,2,FALSE),"")</x:f>
        <x:v>Blackwell Ultra</x:v>
      </x:c>
      <x:c r="C10" s="2" t="str">
        <x:f>IFERROR(VLOOKUP(TRIM($A10),_classification_map!$A$2:$C$227,3,FALSE),"")</x:f>
        <x:v>Grace Blackwell</x:v>
      </x:c>
      <x:c r="D10" s="2" t="inlineStr">
        <x:is>
          <x:t xml:space="preserve">NVIDIA</x:t>
        </x:is>
      </x:c>
      <x:c r="E10" s="2" t="inlineStr">
        <x:is>
          <x:t xml:space="preserve">GPU</x:t>
        </x:is>
      </x:c>
      <x:c r="F10" s="2" t="inlineStr">
        <x:is>
          <x:t xml:space="preserve">Individual GPUs are sometimes called Blackwell Ultra, but systems are referred to as GB300. GB300 is only available in systems containing two or more GPUs. Performance figures are per individual GPU, not per GB300 superchip. Performance figures are listed without sparsity.
https://resources.nvidia.com/en-us-blackwell-architecture/blackwell-ultra-datasheet</x:t>
        </x:is>
      </x:c>
      <x:c r="G10" s="2" t="inlineStr">
        <x:is>
          <x:t xml:space="preserve">2025-08-22</x:t>
        </x:is>
      </x:c>
      <x:c r="H10" s="3" t="n"/>
      <x:c r="I10" s="4" t="n">
        <x:v>2500000000000000</x:v>
      </x:c>
      <x:c r="J10" s="4" t="n">
        <x:v>5000000000000000</x:v>
      </x:c>
      <x:c r="K10" s="4" t="n">
        <x:v>1.5e+16</x:v>
      </x:c>
      <x:c r="L10" s="4" t="n">
        <x:v>287500000000</x:v>
      </x:c>
      <x:c r="M10" s="4" t="n">
        <x:v>8000000000000</x:v>
      </x:c>
      <x:c r="N10" s="4" t="n">
        <x:v>1800000000000</x:v>
      </x:c>
      <x:c r="O10" s="4" t="n"/>
      <x:c r="P10" s="5" t="n">
        <x:v>1400</x:v>
      </x:c>
      <x:c r="Q10" s="4" t="n">
        <x:v>1300000000000</x:v>
      </x:c>
      <x:c r="R10" s="4" t="n">
        <x:v>80000000000000</x:v>
      </x:c>
      <x:c r="S10" s="4" t="n">
        <x:v>1250000000000000</x:v>
      </x:c>
      <x:c r="T10" s="4" t="n"/>
      <x:c r="U10" s="4" t="n"/>
      <x:c r="V10" s="4" t="n">
        <x:v>165000000000000</x:v>
      </x:c>
      <x:c r="W10" s="4" t="n">
        <x:v>1.5e+16</x:v>
      </x:c>
      <x:c r="X10" s="2" t="inlineStr">
        <x:is>
          <x:t xml:space="preserve">TSMC</x:t>
        </x:is>
      </x:c>
      <x:c r="Y10" s="5" t="n"/>
      <x:c r="Z10" s="5" t="n"/>
      <x:c r="AA10" s="5" t="n"/>
      <x:c r="AB10" s="5" t="n"/>
      <x:c r="AC10" s="5" t="n"/>
      <x:c r="AD10" s="5" t="n"/>
      <x:c r="AE10" s="5" t="n">
        <x:v>4</x:v>
      </x:c>
      <x:c r="AF10" s="5" t="n"/>
      <x:c r="AG10" s="2" t="inlineStr">
        <x:is>
          <x:t xml:space="preserve">https://resources.nvidia.com/en-us-dgx-systems/dgx-b300-datasheet
https://www.nvidia.com/en-us/data-center/gb300-nvl72/</x:t>
        </x:is>
      </x:c>
      <x:c r="AH10" s="2" t="n"/>
      <x:c r="AI10" s="2" t="n"/>
      <x:c r="AJ10" s="2" t="inlineStr">
        <x:is>
          <x:t xml:space="preserve">2025-11-21 23:11:07+00:00</x:t>
        </x:is>
      </x:c>
      <x:c r="AK10" s="4" t="n">
        <x:v>1.5e+16</x:v>
      </x:c>
      <x:c r="AL10" s="4" t="n">
        <x:v>10714285714285.7</x:v>
      </x:c>
      <x:c r="AM10" s="4" t="n">
        <x:v>6.112e+16</x:v>
      </x:c>
      <x:c r="AN10" s="4" t="n"/>
      <x:c r="AO10" s="4" t="n">
        <x:v>5000000000000000</x:v>
      </x:c>
    </x:row>
    <x:row r="11" s="9" customFormat="1" ht="57.599998474121094" customHeight="1">
      <x:c r="A11" s="2" t="inlineStr">
        <x:is>
          <x:t xml:space="preserve">NVIDIA Tesla K80</x:t>
        </x:is>
      </x:c>
      <x:c r="B11" s="2" t="str">
        <x:f>IFERROR(VLOOKUP(TRIM($A11),_classification_map!$A$2:$C$227,2,FALSE),"")</x:f>
        <x:v>Kepler</x:v>
      </x:c>
      <x:c r="C11" s="2" t="str">
        <x:f>IFERROR(VLOOKUP(TRIM($A11),_classification_map!$A$2:$C$227,3,FALSE),"")</x:f>
        <x:v>Tesla</x:v>
      </x:c>
      <x:c r="D11" s="2" t="inlineStr">
        <x:is>
          <x:t xml:space="preserve">NVIDIA</x:t>
        </x:is>
      </x:c>
      <x:c r="E11" s="2" t="inlineStr">
        <x:is>
          <x:t xml:space="preserve">GPU</x:t>
        </x:is>
      </x:c>
      <x:c r="F11" s="2" t="n"/>
      <x:c r="G11" s="2" t="inlineStr">
        <x:is>
          <x:t xml:space="preserve">2014-11-17</x:t>
        </x:is>
      </x:c>
      <x:c r="H11" s="3" t="n">
        <x:v>5000</x:v>
      </x:c>
      <x:c r="I11" s="4" t="n"/>
      <x:c r="J11" s="4" t="n"/>
      <x:c r="K11" s="4" t="n"/>
      <x:c r="L11" s="4" t="n">
        <x:v>24000000000</x:v>
      </x:c>
      <x:c r="M11" s="4" t="n">
        <x:v>241000000000</x:v>
      </x:c>
      <x:c r="N11" s="4" t="n"/>
      <x:c r="O11" s="4" t="n"/>
      <x:c r="P11" s="5" t="n">
        <x:v>300</x:v>
      </x:c>
      <x:c r="Q11" s="4" t="n">
        <x:v>2742000000000</x:v>
      </x:c>
      <x:c r="R11" s="4" t="n">
        <x:v>8126000000000</x:v>
      </x:c>
      <x:c r="S11" s="4" t="n"/>
      <x:c r="T11" s="4" t="n"/>
      <x:c r="U11" s="4" t="n"/>
      <x:c r="V11" s="4" t="n"/>
      <x:c r="W11" s="4" t="n"/>
      <x:c r="X11" s="2" t="inlineStr">
        <x:is>
          <x:t xml:space="preserve">TSMC</x:t>
        </x:is>
      </x:c>
      <x:c r="Y11" s="5" t="n">
        <x:v>561</x:v>
      </x:c>
      <x:c r="Z11" s="5" t="n">
        <x:v>562</x:v>
      </x:c>
      <x:c r="AA11" s="5" t="n">
        <x:v>824</x:v>
      </x:c>
      <x:c r="AB11" s="5" t="n">
        <x:v>1253</x:v>
      </x:c>
      <x:c r="AC11" s="5" t="n">
        <x:v>768</x:v>
      </x:c>
      <x:c r="AD11" s="5" t="n"/>
      <x:c r="AE11" s="5" t="n">
        <x:v>28</x:v>
      </x:c>
      <x:c r="AF11" s="5" t="n">
        <x:v>7100</x:v>
      </x:c>
      <x:c r="AG11" s="2" t="inlineStr">
        <x:is>
          <x:t xml:space="preserve">https://www.techpowerup.com/gpu-specs/tesla-k80.c2616; https://www.nvidia.com/content/dam/en-zz/Solutions/Data-Center/tesla-product-literature/TeslaK80-datasheet.pdf</x:t>
        </x:is>
      </x:c>
      <x:c r="AH11" s="2" t="inlineStr">
        <x:is>
          <x:t xml:space="preserve">https://www.anandtech.com/show/8729/nvidia-launches-tesla-k80-gk210-gpu</x:t>
        </x:is>
      </x:c>
      <x:c r="AI11" s="2" t="inlineStr">
        <x:is>
          <x:t xml:space="preserve">GNMT,Xception,JFT,Big-Little Net,OR-WideResNet,UniRep,Fold2Seq,Cube-Space AutoEncoder,code2vec,MoLeR,Zoneout + Variational LSTM (WT2)</x:t>
        </x:is>
      </x:c>
      <x:c r="AJ11" s="2" t="inlineStr">
        <x:is>
          <x:t xml:space="preserve">2026-03-18 12:56:18+00:00</x:t>
        </x:is>
      </x:c>
      <x:c r="AK11" s="4" t="n">
        <x:v>8126000000000</x:v>
      </x:c>
      <x:c r="AL11" s="4" t="n">
        <x:v>27086666666.6667</x:v>
      </x:c>
      <x:c r="AM11" s="4" t="n">
        <x:v>260032000000000</x:v>
      </x:c>
      <x:c r="AN11" s="4" t="n">
        <x:v>1625200000</x:v>
      </x:c>
      <x:c r="AO11" s="4" t="n">
        <x:v>8126000000000</x:v>
      </x:c>
    </x:row>
    <x:row r="12" s="9" customFormat="1" ht="43.20000076293945" customHeight="1">
      <x:c r="A12" s="2" t="inlineStr">
        <x:is>
          <x:t xml:space="preserve">NVIDIA M40</x:t>
        </x:is>
      </x:c>
      <x:c r="B12" s="2" t="str">
        <x:f>IFERROR(VLOOKUP(TRIM($A12),_classification_map!$A$2:$C$227,2,FALSE),"")</x:f>
        <x:v>Maxwell</x:v>
      </x:c>
      <x:c r="C12" s="2" t="str">
        <x:f>IFERROR(VLOOKUP(TRIM($A12),_classification_map!$A$2:$C$227,3,FALSE),"")</x:f>
        <x:v>Tesla</x:v>
      </x:c>
      <x:c r="D12" s="2" t="inlineStr">
        <x:is>
          <x:t xml:space="preserve">NVIDIA</x:t>
        </x:is>
      </x:c>
      <x:c r="E12" s="2" t="inlineStr">
        <x:is>
          <x:t xml:space="preserve">GPU</x:t>
        </x:is>
      </x:c>
      <x:c r="F12" s="2" t="n"/>
      <x:c r="G12" s="2" t="inlineStr">
        <x:is>
          <x:t xml:space="preserve">2015-11-10</x:t>
        </x:is>
      </x:c>
      <x:c r="H12" s="3" t="n">
        <x:v>10799</x:v>
      </x:c>
      <x:c r="I12" s="4" t="n"/>
      <x:c r="J12" s="4" t="n"/>
      <x:c r="K12" s="4" t="n"/>
      <x:c r="L12" s="4" t="n">
        <x:v>12000000000</x:v>
      </x:c>
      <x:c r="M12" s="4" t="n">
        <x:v>288000000000</x:v>
      </x:c>
      <x:c r="N12" s="4" t="n"/>
      <x:c r="O12" s="4" t="n"/>
      <x:c r="P12" s="5" t="n">
        <x:v>250</x:v>
      </x:c>
      <x:c r="Q12" s="4" t="n">
        <x:v>213500000000</x:v>
      </x:c>
      <x:c r="R12" s="4" t="n">
        <x:v>6832000000000</x:v>
      </x:c>
      <x:c r="S12" s="4" t="n"/>
      <x:c r="T12" s="4" t="n"/>
      <x:c r="U12" s="4" t="n"/>
      <x:c r="V12" s="4" t="n"/>
      <x:c r="W12" s="4" t="n"/>
      <x:c r="X12" s="2" t="n"/>
      <x:c r="Y12" s="5" t="n">
        <x:v>601</x:v>
      </x:c>
      <x:c r="Z12" s="5" t="n">
        <x:v>948</x:v>
      </x:c>
      <x:c r="AA12" s="5" t="n">
        <x:v>1112</x:v>
      </x:c>
      <x:c r="AB12" s="5" t="n">
        <x:v>1502</x:v>
      </x:c>
      <x:c r="AC12" s="5" t="n">
        <x:v>384</x:v>
      </x:c>
      <x:c r="AD12" s="5" t="n"/>
      <x:c r="AE12" s="5" t="n"/>
      <x:c r="AF12" s="5" t="n">
        <x:v>8000</x:v>
      </x:c>
      <x:c r="AG12" s="2" t="inlineStr">
        <x:is>
          <x:t xml:space="preserve">https://www.techpowerup.com/gpu-specs/tesla-m40.c2771</x:t>
        </x:is>
      </x:c>
      <x:c r="AH12" s="2" t="inlineStr">
        <x:is>
          <x:t xml:space="preserve">https://texas.gs.shi.com/product/32445647/NVIDIA-Tesla-M40-GPU-computing-processor</x:t>
        </x:is>
      </x:c>
      <x:c r="AI12" s="2" t="inlineStr">
        <x:is>
          <x:t xml:space="preserve">YOLOv3,RetinaNet-R101,MemoReader,ConvS2S (ensemble of 8 models)</x:t>
        </x:is>
      </x:c>
      <x:c r="AJ12" s="2" t="inlineStr">
        <x:is>
          <x:t xml:space="preserve">2026-03-18 12:56:18+00:00</x:t>
        </x:is>
      </x:c>
      <x:c r="AK12" s="4" t="n">
        <x:v>6832000000000</x:v>
      </x:c>
      <x:c r="AL12" s="4" t="n">
        <x:v>27328000000</x:v>
      </x:c>
      <x:c r="AM12" s="4" t="n">
        <x:v>218624000000000</x:v>
      </x:c>
      <x:c r="AN12" s="4" t="n">
        <x:v>632651171.40476</x:v>
      </x:c>
      <x:c r="AO12" s="4" t="n">
        <x:v>6832000000000</x:v>
      </x:c>
    </x:row>
    <x:row r="13" s="9" customFormat="1" ht="43.20000076293945" customHeight="1">
      <x:c r="A13" s="2" t="inlineStr">
        <x:is>
          <x:t xml:space="preserve">NVIDIA Tesla K40s</x:t>
        </x:is>
      </x:c>
      <x:c r="B13" s="2" t="str">
        <x:f>IFERROR(VLOOKUP(TRIM($A13),_classification_map!$A$2:$C$227,2,FALSE),"")</x:f>
        <x:v>Kepler</x:v>
      </x:c>
      <x:c r="C13" s="2" t="str">
        <x:f>IFERROR(VLOOKUP(TRIM($A13),_classification_map!$A$2:$C$227,3,FALSE),"")</x:f>
        <x:v>Tesla</x:v>
      </x:c>
      <x:c r="D13" s="2" t="inlineStr">
        <x:is>
          <x:t xml:space="preserve">NVIDIA</x:t>
        </x:is>
      </x:c>
      <x:c r="E13" s="2" t="inlineStr">
        <x:is>
          <x:t xml:space="preserve">GPU</x:t>
        </x:is>
      </x:c>
      <x:c r="F13" s="2" t="n"/>
      <x:c r="G13" s="2" t="inlineStr">
        <x:is>
          <x:t xml:space="preserve">2013-11-22</x:t>
        </x:is>
      </x:c>
      <x:c r="H13" s="3" t="n">
        <x:v>7699</x:v>
      </x:c>
      <x:c r="I13" s="4" t="n"/>
      <x:c r="J13" s="4" t="n"/>
      <x:c r="K13" s="4" t="n"/>
      <x:c r="L13" s="4" t="n">
        <x:v>12000000000</x:v>
      </x:c>
      <x:c r="M13" s="4" t="n">
        <x:v>288000000000</x:v>
      </x:c>
      <x:c r="N13" s="4" t="n"/>
      <x:c r="O13" s="4" t="n"/>
      <x:c r="P13" s="5" t="n">
        <x:v>245</x:v>
      </x:c>
      <x:c r="Q13" s="4" t="n">
        <x:v>1682000000000</x:v>
      </x:c>
      <x:c r="R13" s="4" t="n">
        <x:v>5046000000000</x:v>
      </x:c>
      <x:c r="S13" s="4" t="n"/>
      <x:c r="T13" s="4" t="n"/>
      <x:c r="U13" s="4" t="n"/>
      <x:c r="V13" s="4" t="n"/>
      <x:c r="W13" s="4" t="n"/>
      <x:c r="X13" s="2" t="inlineStr">
        <x:is>
          <x:t xml:space="preserve">TSMC</x:t>
        </x:is>
      </x:c>
      <x:c r="Y13" s="5" t="n">
        <x:v>561</x:v>
      </x:c>
      <x:c r="Z13" s="5" t="n">
        <x:v>745</x:v>
      </x:c>
      <x:c r="AA13" s="5" t="n">
        <x:v>876</x:v>
      </x:c>
      <x:c r="AB13" s="5" t="n">
        <x:v>1502</x:v>
      </x:c>
      <x:c r="AC13" s="5" t="n">
        <x:v>384</x:v>
      </x:c>
      <x:c r="AD13" s="5" t="n"/>
      <x:c r="AE13" s="5" t="n">
        <x:v>28</x:v>
      </x:c>
      <x:c r="AF13" s="5" t="n">
        <x:v>7080</x:v>
      </x:c>
      <x:c r="AG13" s="2" t="inlineStr">
        <x:is>
          <x:t xml:space="preserve">https://www.techpowerup.com/gpu-specs/tesla-k40s.c2528</x:t>
        </x:is>
      </x:c>
      <x:c r="AH13" s="2" t="inlineStr">
        <x:is>
          <x:t xml:space="preserve">https://www.techpowerup.com/gpu-specs/tesla-k40s.c2528</x:t>
        </x:is>
      </x:c>
      <x:c r="AI13" s="2" t="inlineStr">
        <x:is>
          <x:t xml:space="preserve">AmoebaNet-A (F=448),VDCNN (on Amazon Review Full dataset),BIG LSTM+CNN INPUTS ,10 LSTMS + KN-5 (OPTIMAL WEIGHTS),genCNN + dyn eval</x:t>
        </x:is>
      </x:c>
      <x:c r="AJ13" s="2" t="inlineStr">
        <x:is>
          <x:t xml:space="preserve">2026-03-18 12:56:18+00:00</x:t>
        </x:is>
      </x:c>
      <x:c r="AK13" s="4" t="n">
        <x:v>5046000000000</x:v>
      </x:c>
      <x:c r="AL13" s="4" t="n">
        <x:v>20595918367.3469</x:v>
      </x:c>
      <x:c r="AM13" s="4" t="n">
        <x:v>161472000000000</x:v>
      </x:c>
      <x:c r="AN13" s="4" t="n">
        <x:v>655409793.479673</x:v>
      </x:c>
      <x:c r="AO13" s="4" t="n">
        <x:v>5046000000000</x:v>
      </x:c>
    </x:row>
    <x:row r="14" s="9" customFormat="1" ht="57.599998474121094" customHeight="1">
      <x:c r="A14" s="2" t="inlineStr">
        <x:is>
          <x:t xml:space="preserve">NVIDIA GB200</x:t>
        </x:is>
      </x:c>
      <x:c r="B14" s="2" t="str">
        <x:f>IFERROR(VLOOKUP(TRIM($A14),_classification_map!$A$2:$C$227,2,FALSE),"")</x:f>
        <x:v>Blackwell</x:v>
      </x:c>
      <x:c r="C14" s="2" t="str">
        <x:f>IFERROR(VLOOKUP(TRIM($A14),_classification_map!$A$2:$C$227,3,FALSE),"")</x:f>
        <x:v>Grace Blackwell</x:v>
      </x:c>
      <x:c r="D14" s="2" t="inlineStr">
        <x:is>
          <x:t xml:space="preserve">NVIDIA</x:t>
        </x:is>
      </x:c>
      <x:c r="E14" s="2" t="inlineStr">
        <x:is>
          <x:t xml:space="preserve">GPU</x:t>
        </x:is>
      </x:c>
      <x:c r="F14" s="2" t="inlineStr">
        <x:is>
          <x:t xml:space="preserve">GBB00 is only available in systems containing two or more GPUs. Performance figures are *per GPU*, not per GB200 superchip (which contains 2 GPUs). </x:t>
        </x:is>
      </x:c>
      <x:c r="G14" s="2" t="inlineStr">
        <x:is>
          <x:t xml:space="preserve">2025-02-15</x:t>
        </x:is>
      </x:c>
      <x:c r="H14" s="3" t="n"/>
      <x:c r="I14" s="4" t="n">
        <x:v>2500000000000000</x:v>
      </x:c>
      <x:c r="J14" s="4" t="n">
        <x:v>5000000000000000</x:v>
      </x:c>
      <x:c r="K14" s="4" t="n">
        <x:v>1e+16</x:v>
      </x:c>
      <x:c r="L14" s="4" t="n">
        <x:v>186000000000</x:v>
      </x:c>
      <x:c r="M14" s="4" t="n">
        <x:v>8000000000000</x:v>
      </x:c>
      <x:c r="N14" s="4" t="n"/>
      <x:c r="O14" s="4" t="n"/>
      <x:c r="P14" s="5" t="n">
        <x:v>1200</x:v>
      </x:c>
      <x:c r="Q14" s="4" t="n">
        <x:v>45000000000000</x:v>
      </x:c>
      <x:c r="R14" s="4" t="n">
        <x:v>90000000000000</x:v>
      </x:c>
      <x:c r="S14" s="4" t="n">
        <x:v>1250000000000000</x:v>
      </x:c>
      <x:c r="T14" s="4" t="n">
        <x:v>2500000000000000</x:v>
      </x:c>
      <x:c r="U14" s="4" t="n"/>
      <x:c r="V14" s="4" t="n">
        <x:v>5000000000000000</x:v>
      </x:c>
      <x:c r="W14" s="4" t="n"/>
      <x:c r="X14" s="2" t="inlineStr">
        <x:is>
          <x:t xml:space="preserve">TSMC</x:t>
        </x:is>
      </x:c>
      <x:c r="Y14" s="5" t="n"/>
      <x:c r="Z14" s="5" t="n"/>
      <x:c r="AA14" s="5" t="n"/>
      <x:c r="AB14" s="5" t="n"/>
      <x:c r="AC14" s="5" t="n"/>
      <x:c r="AD14" s="5" t="n"/>
      <x:c r="AE14" s="5" t="n"/>
      <x:c r="AF14" s="5" t="n"/>
      <x:c r="AG14" s="2" t="inlineStr">
        <x:is>
          <x:t xml:space="preserve">https://www.nvidia.com/en-us/data-center/gb200-nvl2/#specs
https://drive.google.com/file/d/1Wc9tdHdy3UthQ6ttW98RgrdUx8Vva5tU/view</x:t>
        </x:is>
      </x:c>
      <x:c r="AH14" s="2" t="n"/>
      <x:c r="AI14" s="2" t="inlineStr">
        <x:is>
          <x:t xml:space="preserve">Granite-4.0-H-Small,Granite-4.0-H-Micro,Granite-4.0-H-Tiny,MAI-Image-1,SWE-1.5,Llama 4 Scout + ScaleRL,SWE 1.6</x:t>
        </x:is>
      </x:c>
      <x:c r="AJ14" s="2" t="inlineStr">
        <x:is>
          <x:t xml:space="preserve">2026-03-18 12:56:18+00:00</x:t>
        </x:is>
      </x:c>
      <x:c r="AK14" s="4" t="n">
        <x:v>5000000000000000</x:v>
      </x:c>
      <x:c r="AL14" s="4" t="n">
        <x:v>4166666666666.67</x:v>
      </x:c>
      <x:c r="AM14" s="4" t="n">
        <x:v>4e+16</x:v>
      </x:c>
      <x:c r="AN14" s="4" t="n"/>
      <x:c r="AO14" s="4" t="n">
        <x:v>5000000000000000</x:v>
      </x:c>
    </x:row>
    <x:row r="15" s="9" customFormat="1" ht="72" customHeight="1">
      <x:c r="A15" s="2" t="inlineStr">
        <x:is>
          <x:t xml:space="preserve">NVIDIA Tesla K40t</x:t>
        </x:is>
      </x:c>
      <x:c r="B15" s="2" t="str">
        <x:f>IFERROR(VLOOKUP(TRIM($A15),_classification_map!$A$2:$C$227,2,FALSE),"")</x:f>
        <x:v>Kepler</x:v>
      </x:c>
      <x:c r="C15" s="2" t="str">
        <x:f>IFERROR(VLOOKUP(TRIM($A15),_classification_map!$A$2:$C$227,3,FALSE),"")</x:f>
        <x:v>Tesla</x:v>
      </x:c>
      <x:c r="D15" s="2" t="inlineStr">
        <x:is>
          <x:t xml:space="preserve">NVIDIA</x:t>
        </x:is>
      </x:c>
      <x:c r="E15" s="2" t="inlineStr">
        <x:is>
          <x:t xml:space="preserve">GPU</x:t>
        </x:is>
      </x:c>
      <x:c r="F15" s="2" t="n"/>
      <x:c r="G15" s="2" t="inlineStr">
        <x:is>
          <x:t xml:space="preserve">2013-11-22</x:t>
        </x:is>
      </x:c>
      <x:c r="H15" s="3" t="n">
        <x:v>7699</x:v>
      </x:c>
      <x:c r="I15" s="4" t="n"/>
      <x:c r="J15" s="4" t="n"/>
      <x:c r="K15" s="4" t="n"/>
      <x:c r="L15" s="4" t="n">
        <x:v>12000000000</x:v>
      </x:c>
      <x:c r="M15" s="4" t="n">
        <x:v>288400000000</x:v>
      </x:c>
      <x:c r="N15" s="4" t="n"/>
      <x:c r="O15" s="4" t="n"/>
      <x:c r="P15" s="5" t="n">
        <x:v>245</x:v>
      </x:c>
      <x:c r="Q15" s="4" t="n">
        <x:v>1682000000000</x:v>
      </x:c>
      <x:c r="R15" s="4" t="n">
        <x:v>5046000000000</x:v>
      </x:c>
      <x:c r="S15" s="4" t="n"/>
      <x:c r="T15" s="4" t="n"/>
      <x:c r="U15" s="4" t="n"/>
      <x:c r="V15" s="4" t="n"/>
      <x:c r="W15" s="4" t="n"/>
      <x:c r="X15" s="2" t="inlineStr">
        <x:is>
          <x:t xml:space="preserve">TSMC</x:t>
        </x:is>
      </x:c>
      <x:c r="Y15" s="5" t="n">
        <x:v>561</x:v>
      </x:c>
      <x:c r="Z15" s="5" t="n">
        <x:v>745</x:v>
      </x:c>
      <x:c r="AA15" s="5" t="n">
        <x:v>876</x:v>
      </x:c>
      <x:c r="AB15" s="5" t="n"/>
      <x:c r="AC15" s="5" t="n">
        <x:v>384</x:v>
      </x:c>
      <x:c r="AD15" s="5" t="n"/>
      <x:c r="AE15" s="5" t="n">
        <x:v>28</x:v>
      </x:c>
      <x:c r="AF15" s="5" t="n">
        <x:v>7080</x:v>
      </x:c>
      <x:c r="AG15" s="2" t="inlineStr">
        <x:is>
          <x:t xml:space="preserve">https://www.techpowerup.com/gpu-specs/tesla-k40t.c3403</x:t>
        </x:is>
      </x:c>
      <x:c r="AH15" s="2" t="inlineStr">
        <x:is>
          <x:t xml:space="preserve">https://www.techpowerup.com/gpu-specs/tesla-k40t.c3403#:~:text=Tesla%20K40t%20is%20connected%20to,launch%20was%207699%20US%20Dollars</x:t>
        </x:is>
      </x:c>
      <x:c r="AI15" s="2" t="inlineStr">
        <x:is>
          <x:t xml:space="preserve">MoE-Multi,MSRA (C, PReLU)</x:t>
        </x:is>
      </x:c>
      <x:c r="AJ15" s="2" t="inlineStr">
        <x:is>
          <x:t xml:space="preserve">2026-03-18 12:56:18+00:00</x:t>
        </x:is>
      </x:c>
      <x:c r="AK15" s="4" t="n">
        <x:v>5046000000000</x:v>
      </x:c>
      <x:c r="AL15" s="4" t="n">
        <x:v>20595918367.3469</x:v>
      </x:c>
      <x:c r="AM15" s="4" t="n">
        <x:v>161472000000000</x:v>
      </x:c>
      <x:c r="AN15" s="4" t="n">
        <x:v>655409793.479673</x:v>
      </x:c>
      <x:c r="AO15" s="4" t="n">
        <x:v>5046000000000</x:v>
      </x:c>
    </x:row>
    <x:row r="16" s="9" customFormat="1" ht="43.20000076293945" customHeight="1">
      <x:c r="A16" s="2" t="inlineStr">
        <x:is>
          <x:t xml:space="preserve">NVIDIA L2 PCle</x:t>
        </x:is>
      </x:c>
      <x:c r="B16" s="2" t="str">
        <x:f>IFERROR(VLOOKUP(TRIM($A16),_classification_map!$A$2:$C$227,2,FALSE),"")</x:f>
        <x:v>Ada Lovelace</x:v>
      </x:c>
      <x:c r="C16" s="2" t="str">
        <x:f>IFERROR(VLOOKUP(TRIM($A16),_classification_map!$A$2:$C$227,3,FALSE),"")</x:f>
        <x:v>Datacenter L-series</x:v>
      </x:c>
      <x:c r="D16" s="2" t="inlineStr">
        <x:is>
          <x:t xml:space="preserve">NVIDIA</x:t>
        </x:is>
      </x:c>
      <x:c r="E16" s="2" t="inlineStr">
        <x:is>
          <x:t xml:space="preserve">GPU</x:t>
        </x:is>
      </x:c>
      <x:c r="F16" s="2" t="n"/>
      <x:c r="G16" s="2" t="inlineStr">
        <x:is>
          <x:t xml:space="preserve">2023-11-09</x:t>
        </x:is>
      </x:c>
      <x:c r="H16" s="3" t="n"/>
      <x:c r="I16" s="4" t="n">
        <x:v>96500000000000</x:v>
      </x:c>
      <x:c r="J16" s="4" t="n"/>
      <x:c r="K16" s="4" t="n"/>
      <x:c r="L16" s="4" t="n">
        <x:v>24000000000</x:v>
      </x:c>
      <x:c r="M16" s="4" t="n">
        <x:v>300000000000</x:v>
      </x:c>
      <x:c r="N16" s="4" t="n"/>
      <x:c r="O16" s="4" t="n"/>
      <x:c r="P16" s="5" t="n"/>
      <x:c r="Q16" s="4" t="n"/>
      <x:c r="R16" s="4" t="n">
        <x:v>24100000000000</x:v>
      </x:c>
      <x:c r="S16" s="4" t="n">
        <x:v>48300000000000</x:v>
      </x:c>
      <x:c r="T16" s="4" t="n"/>
      <x:c r="U16" s="4" t="n"/>
      <x:c r="V16" s="4" t="n">
        <x:v>193000000000000</x:v>
      </x:c>
      <x:c r="W16" s="4" t="n"/>
      <x:c r="X16" s="2" t="n"/>
      <x:c r="Y16" s="5" t="n"/>
      <x:c r="Z16" s="5" t="n"/>
      <x:c r="AA16" s="5" t="n"/>
      <x:c r="AB16" s="5" t="n"/>
      <x:c r="AC16" s="5" t="n"/>
      <x:c r="AD16" s="5" t="n"/>
      <x:c r="AE16" s="5" t="n"/>
      <x:c r="AF16" s="5" t="n"/>
      <x:c r="AG16" s="2" t="inlineStr">
        <x:is>
          <x:t xml:space="preserve">https://viperatech.com/shop/nvidia-l2-pcie/#:~:text=NVIDIA's%20L2%20PCle%2C%20part%20of,handling%20of%20data%2Dintensive%20tasks.</x:t>
        </x:is>
      </x:c>
      <x:c r="AH16" s="2" t="n"/>
      <x:c r="AI16" s="2" t="n"/>
      <x:c r="AJ16" s="2" t="inlineStr">
        <x:is>
          <x:t xml:space="preserve">2025-07-21 09:20:28+00:00</x:t>
        </x:is>
      </x:c>
      <x:c r="AK16" s="4" t="n">
        <x:v>193000000000000</x:v>
      </x:c>
      <x:c r="AL16" s="4" t="n"/>
      <x:c r="AM16" s="4" t="n">
        <x:v>1544000000000000</x:v>
      </x:c>
      <x:c r="AN16" s="4" t="n"/>
      <x:c r="AO16" s="4" t="n">
        <x:v>193000000000000</x:v>
      </x:c>
    </x:row>
    <x:row r="17" s="9" customFormat="1" ht="43.20000076293945" customHeight="1">
      <x:c r="A17" s="2" t="inlineStr">
        <x:is>
          <x:t xml:space="preserve">NVIDIA L4</x:t>
        </x:is>
      </x:c>
      <x:c r="B17" s="2" t="str">
        <x:f>IFERROR(VLOOKUP(TRIM($A17),_classification_map!$A$2:$C$227,2,FALSE),"")</x:f>
        <x:v>Ada Lovelace</x:v>
      </x:c>
      <x:c r="C17" s="2" t="str">
        <x:f>IFERROR(VLOOKUP(TRIM($A17),_classification_map!$A$2:$C$227,3,FALSE),"")</x:f>
        <x:v>Datacenter L-series</x:v>
      </x:c>
      <x:c r="D17" s="2" t="inlineStr">
        <x:is>
          <x:t xml:space="preserve">NVIDIA</x:t>
        </x:is>
      </x:c>
      <x:c r="E17" s="2" t="inlineStr">
        <x:is>
          <x:t xml:space="preserve">GPU</x:t>
        </x:is>
      </x:c>
      <x:c r="F17" s="2" t="inlineStr">
        <x:is>
          <x:t xml:space="preserve">We divide performance by 2 to convert it from performance over sparse matrices to performance over dense matrices.</x:t>
        </x:is>
      </x:c>
      <x:c r="G17" s="2" t="inlineStr">
        <x:is>
          <x:t xml:space="preserve">2023-03-21</x:t>
        </x:is>
      </x:c>
      <x:c r="H17" s="3" t="n"/>
      <x:c r="I17" s="4" t="n">
        <x:v>121000000000000</x:v>
      </x:c>
      <x:c r="J17" s="4" t="n"/>
      <x:c r="K17" s="4" t="n"/>
      <x:c r="L17" s="4" t="n">
        <x:v>24000000000</x:v>
      </x:c>
      <x:c r="M17" s="4" t="n">
        <x:v>300100000000</x:v>
      </x:c>
      <x:c r="N17" s="4" t="n"/>
      <x:c r="O17" s="4" t="n"/>
      <x:c r="P17" s="5" t="n">
        <x:v>72</x:v>
      </x:c>
      <x:c r="Q17" s="4" t="n">
        <x:v>473300000000</x:v>
      </x:c>
      <x:c r="R17" s="4" t="n">
        <x:v>30290000000000</x:v>
      </x:c>
      <x:c r="S17" s="4" t="n">
        <x:v>60000000000000</x:v>
      </x:c>
      <x:c r="T17" s="4" t="n">
        <x:v>30290000000000</x:v>
      </x:c>
      <x:c r="U17" s="4" t="n"/>
      <x:c r="V17" s="4" t="n">
        <x:v>242000000000000</x:v>
      </x:c>
      <x:c r="W17" s="4" t="n">
        <x:v>484000000000000</x:v>
      </x:c>
      <x:c r="X17" s="2" t="inlineStr">
        <x:is>
          <x:t xml:space="preserve">TSMC</x:t>
        </x:is>
      </x:c>
      <x:c r="Y17" s="5" t="n">
        <x:v>294</x:v>
      </x:c>
      <x:c r="Z17" s="5" t="n">
        <x:v>795</x:v>
      </x:c>
      <x:c r="AA17" s="5" t="n">
        <x:v>2040</x:v>
      </x:c>
      <x:c r="AB17" s="5" t="n">
        <x:v>1563</x:v>
      </x:c>
      <x:c r="AC17" s="5" t="n">
        <x:v>192</x:v>
      </x:c>
      <x:c r="AD17" s="5" t="n">
        <x:v>240</x:v>
      </x:c>
      <x:c r="AE17" s="5" t="n">
        <x:v>5</x:v>
      </x:c>
      <x:c r="AF17" s="5" t="n">
        <x:v>35800</x:v>
      </x:c>
      <x:c r="AG17" s="2" t="inlineStr">
        <x:is>
          <x:t xml:space="preserve">https://nvdam.widen.net/s/rvq98gbwsw/l4-datasheet-2595652
https://www.techpowerup.com/gpu-specs/l4.c4091</x:t>
        </x:is>
      </x:c>
      <x:c r="AH17" s="2" t="n"/>
      <x:c r="AI17" s="2" t="n"/>
      <x:c r="AJ17" s="2" t="inlineStr">
        <x:is>
          <x:t xml:space="preserve">2025-07-21 09:20:33+00:00</x:t>
        </x:is>
      </x:c>
      <x:c r="AK17" s="4" t="n">
        <x:v>484000000000000</x:v>
      </x:c>
      <x:c r="AL17" s="4" t="n">
        <x:v>6722222222222.22</x:v>
      </x:c>
      <x:c r="AM17" s="4" t="n">
        <x:v>1936000000000000</x:v>
      </x:c>
      <x:c r="AN17" s="4" t="n"/>
      <x:c r="AO17" s="4" t="n">
        <x:v>242000000000000</x:v>
      </x:c>
    </x:row>
    <x:row r="18" s="9" customFormat="1" ht="43.20000076293945" customHeight="1">
      <x:c r="A18" s="2" t="inlineStr">
        <x:is>
          <x:t xml:space="preserve">Cambricon MLU370-S4/S8</x:t>
        </x:is>
      </x:c>
      <x:c r="B18" s="2" t="str">
        <x:f>IFERROR(VLOOKUP(TRIM($A18),_classification_map!$A$2:$C$227,2,FALSE),"")</x:f>
        <x:v>MLU370</x:v>
      </x:c>
      <x:c r="C18" s="2" t="str">
        <x:f>IFERROR(VLOOKUP(TRIM($A18),_classification_map!$A$2:$C$227,3,FALSE),"")</x:f>
        <x:v>MLU</x:v>
      </x:c>
      <x:c r="D18" s="2" t="inlineStr">
        <x:is>
          <x:t xml:space="preserve">Cambricon</x:t>
        </x:is>
      </x:c>
      <x:c r="E18" s="2" t="n"/>
      <x:c r="F18" s="2" t="inlineStr">
        <x:is>
          <x:t xml:space="preserve">https://www.cambricon.com/index.php?m=content&amp;c=index&amp;a=lists&amp;catid=365
https://archive.ph/014bu</x:t>
        </x:is>
      </x:c>
      <x:c r="G18" s="2" t="inlineStr">
        <x:is>
          <x:t xml:space="preserve">2021-11-03</x:t>
        </x:is>
      </x:c>
      <x:c r="H18" s="3" t="n"/>
      <x:c r="I18" s="4" t="n"/>
      <x:c r="J18" s="4" t="n"/>
      <x:c r="K18" s="4" t="n"/>
      <x:c r="L18" s="4" t="n">
        <x:v>24000000000</x:v>
      </x:c>
      <x:c r="M18" s="4" t="n">
        <x:v>307200000000</x:v>
      </x:c>
      <x:c r="N18" s="4" t="n"/>
      <x:c r="O18" s="4" t="n"/>
      <x:c r="P18" s="5" t="n">
        <x:v>75</x:v>
      </x:c>
      <x:c r="Q18" s="4" t="n"/>
      <x:c r="R18" s="4" t="n">
        <x:v>18000000000000</x:v>
      </x:c>
      <x:c r="S18" s="4" t="n"/>
      <x:c r="T18" s="4" t="n">
        <x:v>72000000000000</x:v>
      </x:c>
      <x:c r="U18" s="4" t="n">
        <x:v>96000000000000</x:v>
      </x:c>
      <x:c r="V18" s="4" t="n">
        <x:v>192000000000000</x:v>
      </x:c>
      <x:c r="W18" s="4" t="n"/>
      <x:c r="X18" s="2" t="n"/>
      <x:c r="Y18" s="5" t="n"/>
      <x:c r="Z18" s="5" t="n"/>
      <x:c r="AA18" s="5" t="n"/>
      <x:c r="AB18" s="5" t="n"/>
      <x:c r="AC18" s="5" t="n"/>
      <x:c r="AD18" s="5" t="n"/>
      <x:c r="AE18" s="5" t="n">
        <x:v>7</x:v>
      </x:c>
      <x:c r="AF18" s="5" t="n"/>
      <x:c r="AG18" s="2" t="n"/>
      <x:c r="AH18" s="2" t="n"/>
      <x:c r="AI18" s="2" t="n"/>
      <x:c r="AJ18" s="2" t="inlineStr">
        <x:is>
          <x:t xml:space="preserve">2025-07-21 09:21:17+00:00</x:t>
        </x:is>
      </x:c>
      <x:c r="AK18" s="4" t="n">
        <x:v>192000000000000</x:v>
      </x:c>
      <x:c r="AL18" s="4" t="n">
        <x:v>2560000000000</x:v>
      </x:c>
      <x:c r="AM18" s="4" t="n">
        <x:v>1536000000000000</x:v>
      </x:c>
      <x:c r="AN18" s="4" t="n"/>
      <x:c r="AO18" s="4" t="n">
        <x:v>192000000000000</x:v>
      </x:c>
    </x:row>
    <x:row r="19" s="9" customFormat="1" ht="43.20000076293945" customHeight="1">
      <x:c r="A19" s="2" t="inlineStr">
        <x:is>
          <x:t xml:space="preserve">Cambricon MLU370-X4</x:t>
        </x:is>
      </x:c>
      <x:c r="B19" s="2" t="str">
        <x:f>IFERROR(VLOOKUP(TRIM($A19),_classification_map!$A$2:$C$227,2,FALSE),"")</x:f>
        <x:v>MLU370</x:v>
      </x:c>
      <x:c r="C19" s="2" t="str">
        <x:f>IFERROR(VLOOKUP(TRIM($A19),_classification_map!$A$2:$C$227,3,FALSE),"")</x:f>
        <x:v>MLU</x:v>
      </x:c>
      <x:c r="D19" s="2" t="inlineStr">
        <x:is>
          <x:t xml:space="preserve">Cambricon</x:t>
        </x:is>
      </x:c>
      <x:c r="E19" s="2" t="n"/>
      <x:c r="F19" s="2" t="inlineStr">
        <x:is>
          <x:t xml:space="preserve">https://www.cambricon.com/index.php?m=content&amp;c=index&amp;a=lists&amp;catid=371
https://archive.ph/qFoAQ</x:t>
        </x:is>
      </x:c>
      <x:c r="G19" s="2" t="inlineStr">
        <x:is>
          <x:t xml:space="preserve">2021-11-03</x:t>
        </x:is>
      </x:c>
      <x:c r="H19" s="3" t="n"/>
      <x:c r="I19" s="4" t="n"/>
      <x:c r="J19" s="4" t="n"/>
      <x:c r="K19" s="4" t="n"/>
      <x:c r="L19" s="4" t="n">
        <x:v>24000000000</x:v>
      </x:c>
      <x:c r="M19" s="4" t="n">
        <x:v>307200000000</x:v>
      </x:c>
      <x:c r="N19" s="4" t="n"/>
      <x:c r="O19" s="4" t="n"/>
      <x:c r="P19" s="5" t="n">
        <x:v>150</x:v>
      </x:c>
      <x:c r="Q19" s="4" t="n"/>
      <x:c r="R19" s="4" t="n">
        <x:v>24000000000000</x:v>
      </x:c>
      <x:c r="S19" s="4" t="n"/>
      <x:c r="T19" s="4" t="n">
        <x:v>96000000000000</x:v>
      </x:c>
      <x:c r="U19" s="4" t="n">
        <x:v>128000000000000</x:v>
      </x:c>
      <x:c r="V19" s="4" t="n">
        <x:v>256000000000000</x:v>
      </x:c>
      <x:c r="W19" s="4" t="n"/>
      <x:c r="X19" s="2" t="n"/>
      <x:c r="Y19" s="5" t="n"/>
      <x:c r="Z19" s="5" t="n"/>
      <x:c r="AA19" s="5" t="n"/>
      <x:c r="AB19" s="5" t="n"/>
      <x:c r="AC19" s="5" t="n"/>
      <x:c r="AD19" s="5" t="n"/>
      <x:c r="AE19" s="5" t="n">
        <x:v>7</x:v>
      </x:c>
      <x:c r="AF19" s="5" t="n"/>
      <x:c r="AG19" s="2" t="inlineStr">
        <x:is>
          <x:t xml:space="preserve">https://perma.cc/Y6CV-YZFD</x:t>
        </x:is>
      </x:c>
      <x:c r="AH19" s="2" t="n"/>
      <x:c r="AI19" s="2" t="n"/>
      <x:c r="AJ19" s="2" t="inlineStr">
        <x:is>
          <x:t xml:space="preserve">2026-01-14 11:34:43+00:00</x:t>
        </x:is>
      </x:c>
      <x:c r="AK19" s="4" t="n">
        <x:v>256000000000000</x:v>
      </x:c>
      <x:c r="AL19" s="4" t="n">
        <x:v>1706666666666.67</x:v>
      </x:c>
      <x:c r="AM19" s="4" t="n">
        <x:v>2048000000000000</x:v>
      </x:c>
      <x:c r="AN19" s="4" t="n"/>
      <x:c r="AO19" s="4" t="n">
        <x:v>256000000000000</x:v>
      </x:c>
    </x:row>
    <x:row r="20" s="9" customFormat="1" ht="43.20000076293945" customHeight="1">
      <x:c r="A20" s="2" t="inlineStr">
        <x:is>
          <x:t xml:space="preserve">Cambricon MLU370-S8</x:t>
        </x:is>
      </x:c>
      <x:c r="B20" s="2" t="str">
        <x:f>IFERROR(VLOOKUP(TRIM($A20),_classification_map!$A$2:$C$227,2,FALSE),"")</x:f>
        <x:v>MLU370</x:v>
      </x:c>
      <x:c r="C20" s="2" t="str">
        <x:f>IFERROR(VLOOKUP(TRIM($A20),_classification_map!$A$2:$C$227,3,FALSE),"")</x:f>
        <x:v>MLU</x:v>
      </x:c>
      <x:c r="D20" s="2" t="inlineStr">
        <x:is>
          <x:t xml:space="preserve">Cambricon</x:t>
        </x:is>
      </x:c>
      <x:c r="E20" s="2" t="n"/>
      <x:c r="F20" s="2" t="inlineStr">
        <x:is>
          <x:t xml:space="preserve">https://www.cambricon.com/index.php?m=content&amp;c=index&amp;a=lists&amp;catid=365
https://archive.ph/014bu</x:t>
        </x:is>
      </x:c>
      <x:c r="G20" s="2" t="inlineStr">
        <x:is>
          <x:t xml:space="preserve">2021-11-03</x:t>
        </x:is>
      </x:c>
      <x:c r="H20" s="3" t="n"/>
      <x:c r="I20" s="4" t="n"/>
      <x:c r="J20" s="4" t="n"/>
      <x:c r="K20" s="4" t="n"/>
      <x:c r="L20" s="4" t="n">
        <x:v>48000000000</x:v>
      </x:c>
      <x:c r="M20" s="4" t="n">
        <x:v>307200000000</x:v>
      </x:c>
      <x:c r="N20" s="4" t="n"/>
      <x:c r="O20" s="4" t="n"/>
      <x:c r="P20" s="5" t="n">
        <x:v>75</x:v>
      </x:c>
      <x:c r="Q20" s="4" t="n"/>
      <x:c r="R20" s="4" t="n">
        <x:v>18000000000000</x:v>
      </x:c>
      <x:c r="S20" s="4" t="n"/>
      <x:c r="T20" s="4" t="n">
        <x:v>72000000000000</x:v>
      </x:c>
      <x:c r="U20" s="4" t="n">
        <x:v>96000000000000</x:v>
      </x:c>
      <x:c r="V20" s="4" t="n">
        <x:v>192000000000000</x:v>
      </x:c>
      <x:c r="W20" s="4" t="n"/>
      <x:c r="X20" s="2" t="n"/>
      <x:c r="Y20" s="5" t="n"/>
      <x:c r="Z20" s="5" t="n"/>
      <x:c r="AA20" s="5" t="n"/>
      <x:c r="AB20" s="5" t="n"/>
      <x:c r="AC20" s="5" t="n"/>
      <x:c r="AD20" s="5" t="n"/>
      <x:c r="AE20" s="5" t="n">
        <x:v>7</x:v>
      </x:c>
      <x:c r="AF20" s="5" t="n"/>
      <x:c r="AG20" s="2" t="n"/>
      <x:c r="AH20" s="2" t="n"/>
      <x:c r="AI20" s="2" t="n"/>
      <x:c r="AJ20" s="2" t="inlineStr">
        <x:is>
          <x:t xml:space="preserve">2025-07-21 09:21:17+00:00</x:t>
        </x:is>
      </x:c>
      <x:c r="AK20" s="4" t="n">
        <x:v>192000000000000</x:v>
      </x:c>
      <x:c r="AL20" s="4" t="n">
        <x:v>2560000000000</x:v>
      </x:c>
      <x:c r="AM20" s="4" t="n">
        <x:v>1536000000000000</x:v>
      </x:c>
      <x:c r="AN20" s="4" t="n"/>
      <x:c r="AO20" s="4" t="n">
        <x:v>192000000000000</x:v>
      </x:c>
    </x:row>
    <x:row r="21" s="9" customFormat="1" ht="43.20000076293945" customHeight="1">
      <x:c r="A21" s="2" t="inlineStr">
        <x:is>
          <x:t xml:space="preserve">Cambricon MLU370-S4</x:t>
        </x:is>
      </x:c>
      <x:c r="B21" s="2" t="str">
        <x:f>IFERROR(VLOOKUP(TRIM($A21),_classification_map!$A$2:$C$227,2,FALSE),"")</x:f>
        <x:v>MLU370</x:v>
      </x:c>
      <x:c r="C21" s="2" t="str">
        <x:f>IFERROR(VLOOKUP(TRIM($A21),_classification_map!$A$2:$C$227,3,FALSE),"")</x:f>
        <x:v>MLU</x:v>
      </x:c>
      <x:c r="D21" s="2" t="inlineStr">
        <x:is>
          <x:t xml:space="preserve">Cambricon</x:t>
        </x:is>
      </x:c>
      <x:c r="E21" s="2" t="n"/>
      <x:c r="F21" s="2" t="inlineStr">
        <x:is>
          <x:t xml:space="preserve">https://www.cambricon.com/index.php?m=content&amp;c=index&amp;a=lists&amp;catid=365
https://archive.ph/014bu</x:t>
        </x:is>
      </x:c>
      <x:c r="G21" s="2" t="inlineStr">
        <x:is>
          <x:t xml:space="preserve">2021-11-03</x:t>
        </x:is>
      </x:c>
      <x:c r="H21" s="3" t="n"/>
      <x:c r="I21" s="4" t="n"/>
      <x:c r="J21" s="4" t="n"/>
      <x:c r="K21" s="4" t="n"/>
      <x:c r="L21" s="4" t="n">
        <x:v>24000000000</x:v>
      </x:c>
      <x:c r="M21" s="4" t="n">
        <x:v>307200000000</x:v>
      </x:c>
      <x:c r="N21" s="4" t="n"/>
      <x:c r="O21" s="4" t="n"/>
      <x:c r="P21" s="5" t="n">
        <x:v>75</x:v>
      </x:c>
      <x:c r="Q21" s="4" t="n"/>
      <x:c r="R21" s="4" t="n">
        <x:v>18000000000000</x:v>
      </x:c>
      <x:c r="S21" s="4" t="n"/>
      <x:c r="T21" s="4" t="n">
        <x:v>72000000000000</x:v>
      </x:c>
      <x:c r="U21" s="4" t="n">
        <x:v>96000000000000</x:v>
      </x:c>
      <x:c r="V21" s="4" t="n">
        <x:v>192000000000000</x:v>
      </x:c>
      <x:c r="W21" s="4" t="n"/>
      <x:c r="X21" s="2" t="n"/>
      <x:c r="Y21" s="5" t="n"/>
      <x:c r="Z21" s="5" t="n"/>
      <x:c r="AA21" s="5" t="n"/>
      <x:c r="AB21" s="5" t="n"/>
      <x:c r="AC21" s="5" t="n"/>
      <x:c r="AD21" s="5" t="n"/>
      <x:c r="AE21" s="5" t="n">
        <x:v>7</x:v>
      </x:c>
      <x:c r="AF21" s="5" t="n"/>
      <x:c r="AG21" s="2" t="inlineStr">
        <x:is>
          <x:t xml:space="preserve">https://perma.cc/AS5M-QVCE</x:t>
        </x:is>
      </x:c>
      <x:c r="AH21" s="2" t="n"/>
      <x:c r="AI21" s="2" t="n"/>
      <x:c r="AJ21" s="2" t="inlineStr">
        <x:is>
          <x:t xml:space="preserve">2026-01-10 13:53:21+00:00</x:t>
        </x:is>
      </x:c>
      <x:c r="AK21" s="4" t="n">
        <x:v>192000000000000</x:v>
      </x:c>
      <x:c r="AL21" s="4" t="n">
        <x:v>2560000000000</x:v>
      </x:c>
      <x:c r="AM21" s="4" t="n">
        <x:v>1536000000000000</x:v>
      </x:c>
      <x:c r="AN21" s="4" t="n"/>
      <x:c r="AO21" s="4" t="n">
        <x:v>192000000000000</x:v>
      </x:c>
    </x:row>
    <x:row r="22">
      <x:c r="A22" s="2" t="inlineStr">
        <x:is>
          <x:t xml:space="preserve">NVIDIA Tesla T4</x:t>
        </x:is>
      </x:c>
      <x:c r="B22" s="2" t="str">
        <x:f>IFERROR(VLOOKUP(TRIM($A22),_classification_map!$A$2:$C$227,2,FALSE),"")</x:f>
        <x:v>Turing</x:v>
      </x:c>
      <x:c r="C22" s="2" t="str">
        <x:f>IFERROR(VLOOKUP(TRIM($A22),_classification_map!$A$2:$C$227,3,FALSE),"")</x:f>
        <x:v>Tesla</x:v>
      </x:c>
      <x:c r="D22" s="2" t="inlineStr">
        <x:is>
          <x:t xml:space="preserve">NVIDIA</x:t>
        </x:is>
      </x:c>
      <x:c r="E22" s="2" t="inlineStr">
        <x:is>
          <x:t xml:space="preserve">GPU</x:t>
        </x:is>
      </x:c>
      <x:c r="F22" s="2" t="n"/>
      <x:c r="G22" s="2" t="inlineStr">
        <x:is>
          <x:t xml:space="preserve">2018-09-13</x:t>
        </x:is>
      </x:c>
      <x:c r="H22" s="3" t="n"/>
      <x:c r="I22" s="4" t="n">
        <x:v>130500000000000</x:v>
      </x:c>
      <x:c r="J22" s="4" t="n"/>
      <x:c r="K22" s="4" t="n"/>
      <x:c r="L22" s="4" t="n">
        <x:v>16000000000</x:v>
      </x:c>
      <x:c r="M22" s="4" t="n">
        <x:v>320000000000</x:v>
      </x:c>
      <x:c r="N22" s="4" t="n"/>
      <x:c r="O22" s="4" t="n"/>
      <x:c r="P22" s="5" t="n">
        <x:v>70</x:v>
      </x:c>
      <x:c r="Q22" s="4" t="n">
        <x:v>254400000000</x:v>
      </x:c>
      <x:c r="R22" s="4" t="n">
        <x:v>8141000000000</x:v>
      </x:c>
      <x:c r="S22" s="4" t="n"/>
      <x:c r="T22" s="4" t="n">
        <x:v>65129999999999.9</x:v>
      </x:c>
      <x:c r="U22" s="4" t="n"/>
      <x:c r="V22" s="4" t="n"/>
      <x:c r="W22" s="4" t="n"/>
      <x:c r="X22" s="2" t="inlineStr">
        <x:is>
          <x:t xml:space="preserve">TSMC</x:t>
        </x:is>
      </x:c>
      <x:c r="Y22" s="5" t="n">
        <x:v>545</x:v>
      </x:c>
      <x:c r="Z22" s="5" t="n">
        <x:v>585</x:v>
      </x:c>
      <x:c r="AA22" s="5" t="n">
        <x:v>1590</x:v>
      </x:c>
      <x:c r="AB22" s="5" t="n">
        <x:v>1250</x:v>
      </x:c>
      <x:c r="AC22" s="5" t="n">
        <x:v>256</x:v>
      </x:c>
      <x:c r="AD22" s="5" t="n">
        <x:v>320</x:v>
      </x:c>
      <x:c r="AE22" s="5" t="n">
        <x:v>12</x:v>
      </x:c>
      <x:c r="AF22" s="5" t="n">
        <x:v>13600</x:v>
      </x:c>
      <x:c r="AG22" s="2" t="inlineStr">
        <x:is>
          <x:t xml:space="preserve">https://www.techpowerup.com/gpu-specs/tesla-t4.c3316</x:t>
        </x:is>
      </x:c>
      <x:c r="AH22" s="2" t="n"/>
      <x:c r="AI22" s="2" t="inlineStr">
        <x:is>
          <x:t xml:space="preserve">CLR_ESP</x:t>
        </x:is>
      </x:c>
      <x:c r="AJ22" s="2" t="inlineStr">
        <x:is>
          <x:t xml:space="preserve">2026-03-18 12:56:18+00:00</x:t>
        </x:is>
      </x:c>
      <x:c r="AK22" s="4" t="n">
        <x:v>65129999999999.9</x:v>
      </x:c>
      <x:c r="AL22" s="4" t="n">
        <x:v>930428571428.5699</x:v>
      </x:c>
      <x:c r="AM22" s="4" t="n">
        <x:v>1042080000000000</x:v>
      </x:c>
      <x:c r="AN22" s="4" t="n"/>
      <x:c r="AO22" s="4" t="n">
        <x:v>65129999999999.9</x:v>
      </x:c>
    </x:row>
    <x:row r="23" s="9" customFormat="1" ht="28.799999237060547" customHeight="1">
      <x:c r="A23" s="2" t="inlineStr">
        <x:is>
          <x:t xml:space="preserve">NVIDIA TESLA M60</x:t>
        </x:is>
      </x:c>
      <x:c r="B23" s="2" t="str">
        <x:f>IFERROR(VLOOKUP(TRIM($A23),_classification_map!$A$2:$C$227,2,FALSE),"")</x:f>
        <x:v>Maxwell</x:v>
      </x:c>
      <x:c r="C23" s="2" t="str">
        <x:f>IFERROR(VLOOKUP(TRIM($A23),_classification_map!$A$2:$C$227,3,FALSE),"")</x:f>
        <x:v>Tesla</x:v>
      </x:c>
      <x:c r="D23" s="2" t="inlineStr">
        <x:is>
          <x:t xml:space="preserve">NVIDIA</x:t>
        </x:is>
      </x:c>
      <x:c r="E23" s="2" t="inlineStr">
        <x:is>
          <x:t xml:space="preserve">GPU</x:t>
        </x:is>
      </x:c>
      <x:c r="F23" s="2" t="n"/>
      <x:c r="G23" s="2" t="inlineStr">
        <x:is>
          <x:t xml:space="preserve">2015-08-30</x:t>
        </x:is>
      </x:c>
      <x:c r="H23" s="3" t="n"/>
      <x:c r="I23" s="4" t="n"/>
      <x:c r="J23" s="4" t="n"/>
      <x:c r="K23" s="4" t="n"/>
      <x:c r="L23" s="4" t="n">
        <x:v>16000000000</x:v>
      </x:c>
      <x:c r="M23" s="4" t="n">
        <x:v>320800000000</x:v>
      </x:c>
      <x:c r="N23" s="4" t="n"/>
      <x:c r="O23" s="4" t="n"/>
      <x:c r="P23" s="5" t="n">
        <x:v>300</x:v>
      </x:c>
      <x:c r="Q23" s="4" t="n">
        <x:v>301600000000</x:v>
      </x:c>
      <x:c r="R23" s="4" t="n">
        <x:v>9650000000000</x:v>
      </x:c>
      <x:c r="S23" s="4" t="n"/>
      <x:c r="T23" s="4" t="n"/>
      <x:c r="U23" s="4" t="n"/>
      <x:c r="V23" s="4" t="n"/>
      <x:c r="W23" s="4" t="n"/>
      <x:c r="X23" s="2" t="inlineStr">
        <x:is>
          <x:t xml:space="preserve">TSMC</x:t>
        </x:is>
      </x:c>
      <x:c r="Y23" s="5" t="n">
        <x:v>398</x:v>
      </x:c>
      <x:c r="Z23" s="5" t="n">
        <x:v>557</x:v>
      </x:c>
      <x:c r="AA23" s="5" t="n">
        <x:v>1178</x:v>
      </x:c>
      <x:c r="AB23" s="5" t="n">
        <x:v>1253</x:v>
      </x:c>
      <x:c r="AC23" s="5" t="n">
        <x:v>512</x:v>
      </x:c>
      <x:c r="AD23" s="5" t="n"/>
      <x:c r="AE23" s="5" t="n">
        <x:v>28</x:v>
      </x:c>
      <x:c r="AF23" s="5" t="n">
        <x:v>5200</x:v>
      </x:c>
      <x:c r="AG23" s="2" t="inlineStr">
        <x:is>
          <x:t xml:space="preserve">https://www.techpowerup.com/gpu-specs/tesla-m60.c2760</x:t>
        </x:is>
      </x:c>
      <x:c r="AH23" s="2" t="n"/>
      <x:c r="AI23" s="2" t="n"/>
      <x:c r="AJ23" s="2" t="inlineStr">
        <x:is>
          <x:t xml:space="preserve">2025-07-21 09:57:39+00:00</x:t>
        </x:is>
      </x:c>
      <x:c r="AK23" s="4" t="n">
        <x:v>9650000000000</x:v>
      </x:c>
      <x:c r="AL23" s="4" t="n">
        <x:v>32166666666.6667</x:v>
      </x:c>
      <x:c r="AM23" s="4" t="n">
        <x:v>308800000000000</x:v>
      </x:c>
      <x:c r="AN23" s="4" t="n"/>
      <x:c r="AO23" s="4" t="n">
        <x:v>9650000000000</x:v>
      </x:c>
    </x:row>
    <x:row r="24">
      <x:c r="A24" s="2" t="inlineStr">
        <x:is>
          <x:t xml:space="preserve">Baidu Kunlun R100 (75W)</x:t>
        </x:is>
      </x:c>
      <x:c r="B24" s="2" t="str">
        <x:f>IFERROR(VLOOKUP(TRIM($A24),_classification_map!$A$2:$C$227,2,FALSE),"")</x:f>
        <x:v>R100</x:v>
      </x:c>
      <x:c r="C24" s="2" t="str">
        <x:f>IFERROR(VLOOKUP(TRIM($A24),_classification_map!$A$2:$C$227,3,FALSE),"")</x:f>
        <x:v>Kunlun</x:v>
      </x:c>
      <x:c r="D24" s="2" t="inlineStr">
        <x:is>
          <x:t xml:space="preserve">Kunlunxin Baidu</x:t>
        </x:is>
      </x:c>
      <x:c r="E24" s="2" t="inlineStr">
        <x:is>
          <x:t xml:space="preserve">XPU-R</x:t>
        </x:is>
      </x:c>
      <x:c r="F24" s="2" t="inlineStr">
        <x:is>
          <x:t xml:space="preserve">https://archive.ph/XFJOZ</x:t>
        </x:is>
      </x:c>
      <x:c r="G24" s="2" t="inlineStr">
        <x:is>
          <x:t xml:space="preserve">2022-01-01</x:t>
        </x:is>
      </x:c>
      <x:c r="H24" s="3" t="n"/>
      <x:c r="I24" s="4" t="n"/>
      <x:c r="J24" s="4" t="n"/>
      <x:c r="K24" s="4" t="n"/>
      <x:c r="L24" s="4" t="n">
        <x:v>12000000000</x:v>
      </x:c>
      <x:c r="M24" s="4" t="n">
        <x:v>384000000000</x:v>
      </x:c>
      <x:c r="N24" s="4" t="n"/>
      <x:c r="O24" s="4" t="n"/>
      <x:c r="P24" s="5" t="n">
        <x:v>75</x:v>
      </x:c>
      <x:c r="Q24" s="4" t="n"/>
      <x:c r="R24" s="4" t="n">
        <x:v>18000000000000</x:v>
      </x:c>
      <x:c r="S24" s="4" t="n"/>
      <x:c r="T24" s="4" t="n">
        <x:v>64000000000000</x:v>
      </x:c>
      <x:c r="U24" s="4" t="n">
        <x:v>64000000000000</x:v>
      </x:c>
      <x:c r="V24" s="4" t="n">
        <x:v>128000000000000</x:v>
      </x:c>
      <x:c r="W24" s="4" t="n"/>
      <x:c r="X24" s="2" t="n"/>
      <x:c r="Y24" s="5" t="n"/>
      <x:c r="Z24" s="5" t="n"/>
      <x:c r="AA24" s="5" t="n"/>
      <x:c r="AB24" s="5" t="n"/>
      <x:c r="AC24" s="5" t="n"/>
      <x:c r="AD24" s="5" t="n"/>
      <x:c r="AE24" s="5" t="n"/>
      <x:c r="AF24" s="5" t="n"/>
      <x:c r="AG24" s="2" t="n"/>
      <x:c r="AH24" s="2" t="n"/>
      <x:c r="AI24" s="2" t="n"/>
      <x:c r="AJ24" s="2" t="inlineStr">
        <x:is>
          <x:t xml:space="preserve">2025-07-21 09:21:11+00:00</x:t>
        </x:is>
      </x:c>
      <x:c r="AK24" s="4" t="n">
        <x:v>128000000000000</x:v>
      </x:c>
      <x:c r="AL24" s="4" t="n">
        <x:v>1706666666666.67</x:v>
      </x:c>
      <x:c r="AM24" s="4" t="n">
        <x:v>1024000000000000</x:v>
      </x:c>
      <x:c r="AN24" s="4" t="n"/>
      <x:c r="AO24" s="4" t="n">
        <x:v>128000000000000</x:v>
      </x:c>
    </x:row>
    <x:row r="25">
      <x:c r="A25" s="2" t="inlineStr">
        <x:is>
          <x:t xml:space="preserve">Baidu Kunlun R100 (100W)</x:t>
        </x:is>
      </x:c>
      <x:c r="B25" s="2" t="str">
        <x:f>IFERROR(VLOOKUP(TRIM($A25),_classification_map!$A$2:$C$227,2,FALSE),"")</x:f>
        <x:v>R100</x:v>
      </x:c>
      <x:c r="C25" s="2" t="str">
        <x:f>IFERROR(VLOOKUP(TRIM($A25),_classification_map!$A$2:$C$227,3,FALSE),"")</x:f>
        <x:v>Kunlun</x:v>
      </x:c>
      <x:c r="D25" s="2" t="inlineStr">
        <x:is>
          <x:t xml:space="preserve">Kunlunxin Baidu</x:t>
        </x:is>
      </x:c>
      <x:c r="E25" s="2" t="inlineStr">
        <x:is>
          <x:t xml:space="preserve">XPU-R</x:t>
        </x:is>
      </x:c>
      <x:c r="F25" s="2" t="inlineStr">
        <x:is>
          <x:t xml:space="preserve">https://archive.ph/XFJOZ</x:t>
        </x:is>
      </x:c>
      <x:c r="G25" s="2" t="inlineStr">
        <x:is>
          <x:t xml:space="preserve">2022-01-01</x:t>
        </x:is>
      </x:c>
      <x:c r="H25" s="3" t="n"/>
      <x:c r="I25" s="4" t="n"/>
      <x:c r="J25" s="4" t="n"/>
      <x:c r="K25" s="4" t="n"/>
      <x:c r="L25" s="4" t="n">
        <x:v>12000000000</x:v>
      </x:c>
      <x:c r="M25" s="4" t="n">
        <x:v>384000000000</x:v>
      </x:c>
      <x:c r="N25" s="4" t="n"/>
      <x:c r="O25" s="4" t="n"/>
      <x:c r="P25" s="5" t="n">
        <x:v>100</x:v>
      </x:c>
      <x:c r="Q25" s="4" t="n"/>
      <x:c r="R25" s="4" t="n">
        <x:v>20000000000000</x:v>
      </x:c>
      <x:c r="S25" s="4" t="n"/>
      <x:c r="T25" s="4" t="n">
        <x:v>85000000000000</x:v>
      </x:c>
      <x:c r="U25" s="4" t="n">
        <x:v>85000000000000</x:v>
      </x:c>
      <x:c r="V25" s="4" t="n">
        <x:v>170000000000000</x:v>
      </x:c>
      <x:c r="W25" s="4" t="n"/>
      <x:c r="X25" s="2" t="n"/>
      <x:c r="Y25" s="5" t="n"/>
      <x:c r="Z25" s="5" t="n"/>
      <x:c r="AA25" s="5" t="n"/>
      <x:c r="AB25" s="5" t="n"/>
      <x:c r="AC25" s="5" t="n"/>
      <x:c r="AD25" s="5" t="n"/>
      <x:c r="AE25" s="5" t="n"/>
      <x:c r="AF25" s="5" t="n"/>
      <x:c r="AG25" s="2" t="n"/>
      <x:c r="AH25" s="2" t="n"/>
      <x:c r="AI25" s="2" t="n"/>
      <x:c r="AJ25" s="2" t="inlineStr">
        <x:is>
          <x:t xml:space="preserve">2025-07-21 09:21:11+00:00</x:t>
        </x:is>
      </x:c>
      <x:c r="AK25" s="4" t="n">
        <x:v>170000000000000</x:v>
      </x:c>
      <x:c r="AL25" s="4" t="n">
        <x:v>1700000000000</x:v>
      </x:c>
      <x:c r="AM25" s="4" t="n">
        <x:v>1360000000000000</x:v>
      </x:c>
      <x:c r="AN25" s="4" t="n"/>
      <x:c r="AO25" s="4" t="n">
        <x:v>170000000000000</x:v>
      </x:c>
    </x:row>
    <x:row r="26">
      <x:c r="A26" s="2" t="inlineStr">
        <x:is>
          <x:t xml:space="preserve">Baidu Kunlun RG800</x:t>
        </x:is>
      </x:c>
      <x:c r="B26" s="2" t="str">
        <x:f>IFERROR(VLOOKUP(TRIM($A26),_classification_map!$A$2:$C$227,2,FALSE),"")</x:f>
        <x:v>RG800</x:v>
      </x:c>
      <x:c r="C26" s="2" t="str">
        <x:f>IFERROR(VLOOKUP(TRIM($A26),_classification_map!$A$2:$C$227,3,FALSE),"")</x:f>
        <x:v>Kunlun</x:v>
      </x:c>
      <x:c r="D26" s="2" t="inlineStr">
        <x:is>
          <x:t xml:space="preserve">Kunlunxin Baidu</x:t>
        </x:is>
      </x:c>
      <x:c r="E26" s="2" t="inlineStr">
        <x:is>
          <x:t xml:space="preserve">XPU-R</x:t>
        </x:is>
      </x:c>
      <x:c r="F26" s="2" t="inlineStr">
        <x:is>
          <x:t xml:space="preserve">https://archive.ph/XFJOZ</x:t>
        </x:is>
      </x:c>
      <x:c r="G26" s="2" t="inlineStr">
        <x:is>
          <x:t xml:space="preserve">2023-01-01</x:t>
        </x:is>
      </x:c>
      <x:c r="H26" s="3" t="n"/>
      <x:c r="I26" s="4" t="n"/>
      <x:c r="J26" s="4" t="n"/>
      <x:c r="K26" s="4" t="n"/>
      <x:c r="L26" s="4" t="n">
        <x:v>32000000000</x:v>
      </x:c>
      <x:c r="M26" s="4" t="n">
        <x:v>512000000000</x:v>
      </x:c>
      <x:c r="N26" s="4" t="n"/>
      <x:c r="O26" s="4" t="n"/>
      <x:c r="P26" s="5" t="n">
        <x:v>130</x:v>
      </x:c>
      <x:c r="Q26" s="4" t="n"/>
      <x:c r="R26" s="4" t="n">
        <x:v>32000000000000</x:v>
      </x:c>
      <x:c r="S26" s="4" t="n"/>
      <x:c r="T26" s="4" t="n">
        <x:v>128000000000000</x:v>
      </x:c>
      <x:c r="U26" s="4" t="n">
        <x:v>128000000000000</x:v>
      </x:c>
      <x:c r="V26" s="4" t="n">
        <x:v>256000000000000</x:v>
      </x:c>
      <x:c r="W26" s="4" t="n"/>
      <x:c r="X26" s="2" t="n"/>
      <x:c r="Y26" s="5" t="n"/>
      <x:c r="Z26" s="5" t="n"/>
      <x:c r="AA26" s="5" t="n"/>
      <x:c r="AB26" s="5" t="n"/>
      <x:c r="AC26" s="5" t="n"/>
      <x:c r="AD26" s="5" t="n"/>
      <x:c r="AE26" s="5" t="n"/>
      <x:c r="AF26" s="5" t="n"/>
      <x:c r="AG26" s="2" t="n"/>
      <x:c r="AH26" s="2" t="n"/>
      <x:c r="AI26" s="2" t="n"/>
      <x:c r="AJ26" s="2" t="inlineStr">
        <x:is>
          <x:t xml:space="preserve">2025-07-21 09:20:39+00:00</x:t>
        </x:is>
      </x:c>
      <x:c r="AK26" s="4" t="n">
        <x:v>256000000000000</x:v>
      </x:c>
      <x:c r="AL26" s="4" t="n">
        <x:v>1969230769230.77</x:v>
      </x:c>
      <x:c r="AM26" s="4" t="n">
        <x:v>2048000000000000</x:v>
      </x:c>
      <x:c r="AN26" s="4" t="n"/>
      <x:c r="AO26" s="4" t="n">
        <x:v>256000000000000</x:v>
      </x:c>
    </x:row>
    <x:row r="27">
      <x:c r="A27" s="2" t="inlineStr">
        <x:is>
          <x:t xml:space="preserve">Baidu Kunlun R200 (150W)</x:t>
        </x:is>
      </x:c>
      <x:c r="B27" s="2" t="str">
        <x:f>IFERROR(VLOOKUP(TRIM($A27),_classification_map!$A$2:$C$227,2,FALSE),"")</x:f>
        <x:v>R200</x:v>
      </x:c>
      <x:c r="C27" s="2" t="str">
        <x:f>IFERROR(VLOOKUP(TRIM($A27),_classification_map!$A$2:$C$227,3,FALSE),"")</x:f>
        <x:v>Kunlun</x:v>
      </x:c>
      <x:c r="D27" s="2" t="inlineStr">
        <x:is>
          <x:t xml:space="preserve">Kunlunxin Baidu</x:t>
        </x:is>
      </x:c>
      <x:c r="E27" s="2" t="inlineStr">
        <x:is>
          <x:t xml:space="preserve">XPU-R</x:t>
        </x:is>
      </x:c>
      <x:c r="F27" s="2" t="inlineStr">
        <x:is>
          <x:t xml:space="preserve">https://zhuanlan.zhihu.com/p/646793342</x:t>
        </x:is>
      </x:c>
      <x:c r="G27" s="2" t="inlineStr">
        <x:is>
          <x:t xml:space="preserve">2022-01-01</x:t>
        </x:is>
      </x:c>
      <x:c r="H27" s="3" t="n"/>
      <x:c r="I27" s="4" t="n"/>
      <x:c r="J27" s="4" t="n"/>
      <x:c r="K27" s="4" t="n"/>
      <x:c r="L27" s="4" t="n">
        <x:v>16000000000</x:v>
      </x:c>
      <x:c r="M27" s="4" t="n">
        <x:v>512000000000</x:v>
      </x:c>
      <x:c r="N27" s="4" t="n"/>
      <x:c r="O27" s="4" t="n"/>
      <x:c r="P27" s="5" t="n">
        <x:v>150</x:v>
      </x:c>
      <x:c r="Q27" s="4" t="n"/>
      <x:c r="R27" s="4" t="n">
        <x:v>32000000000000</x:v>
      </x:c>
      <x:c r="S27" s="4" t="n"/>
      <x:c r="T27" s="4" t="n">
        <x:v>128000000000000</x:v>
      </x:c>
      <x:c r="U27" s="4" t="n">
        <x:v>128000000000000</x:v>
      </x:c>
      <x:c r="V27" s="4" t="n">
        <x:v>256000000000000</x:v>
      </x:c>
      <x:c r="W27" s="4" t="n"/>
      <x:c r="X27" s="2" t="n"/>
      <x:c r="Y27" s="5" t="n"/>
      <x:c r="Z27" s="5" t="n"/>
      <x:c r="AA27" s="5" t="n"/>
      <x:c r="AB27" s="5" t="n"/>
      <x:c r="AC27" s="5" t="n"/>
      <x:c r="AD27" s="5" t="n"/>
      <x:c r="AE27" s="5" t="n">
        <x:v>7</x:v>
      </x:c>
      <x:c r="AF27" s="5" t="n"/>
      <x:c r="AG27" s="2" t="n"/>
      <x:c r="AH27" s="2" t="n"/>
      <x:c r="AI27" s="2" t="n"/>
      <x:c r="AJ27" s="2" t="inlineStr">
        <x:is>
          <x:t xml:space="preserve">2025-07-21 09:21:12+00:00</x:t>
        </x:is>
      </x:c>
      <x:c r="AK27" s="4" t="n">
        <x:v>256000000000000</x:v>
      </x:c>
      <x:c r="AL27" s="4" t="n">
        <x:v>1706666666666.67</x:v>
      </x:c>
      <x:c r="AM27" s="4" t="n">
        <x:v>2048000000000000</x:v>
      </x:c>
      <x:c r="AN27" s="4" t="n"/>
      <x:c r="AO27" s="4" t="n">
        <x:v>256000000000000</x:v>
      </x:c>
    </x:row>
    <x:row r="28">
      <x:c r="A28" s="2" t="inlineStr">
        <x:is>
          <x:t xml:space="preserve">Baidu Kunlun R200-8F (160W)</x:t>
        </x:is>
      </x:c>
      <x:c r="B28" s="2" t="str">
        <x:f>IFERROR(VLOOKUP(TRIM($A28),_classification_map!$A$2:$C$227,2,FALSE),"")</x:f>
        <x:v>R200</x:v>
      </x:c>
      <x:c r="C28" s="2" t="str">
        <x:f>IFERROR(VLOOKUP(TRIM($A28),_classification_map!$A$2:$C$227,3,FALSE),"")</x:f>
        <x:v>Kunlun</x:v>
      </x:c>
      <x:c r="D28" s="2" t="inlineStr">
        <x:is>
          <x:t xml:space="preserve">Kunlunxin Baidu</x:t>
        </x:is>
      </x:c>
      <x:c r="E28" s="2" t="inlineStr">
        <x:is>
          <x:t xml:space="preserve">XPU-R</x:t>
        </x:is>
      </x:c>
      <x:c r="F28" s="2" t="inlineStr">
        <x:is>
          <x:t xml:space="preserve">https://zhuanlan.zhihu.com/p/646793342</x:t>
        </x:is>
      </x:c>
      <x:c r="G28" s="2" t="inlineStr">
        <x:is>
          <x:t xml:space="preserve">2022-01-01</x:t>
        </x:is>
      </x:c>
      <x:c r="H28" s="3" t="n"/>
      <x:c r="I28" s="4" t="n"/>
      <x:c r="J28" s="4" t="n"/>
      <x:c r="K28" s="4" t="n"/>
      <x:c r="L28" s="4" t="n">
        <x:v>32000000000</x:v>
      </x:c>
      <x:c r="M28" s="4" t="n">
        <x:v>512000000000</x:v>
      </x:c>
      <x:c r="N28" s="4" t="n"/>
      <x:c r="O28" s="4" t="n"/>
      <x:c r="P28" s="5" t="n">
        <x:v>160</x:v>
      </x:c>
      <x:c r="Q28" s="4" t="n"/>
      <x:c r="R28" s="4" t="n">
        <x:v>32000000000000</x:v>
      </x:c>
      <x:c r="S28" s="4" t="n"/>
      <x:c r="T28" s="4" t="n">
        <x:v>128000000000000</x:v>
      </x:c>
      <x:c r="U28" s="4" t="n">
        <x:v>128000000000000</x:v>
      </x:c>
      <x:c r="V28" s="4" t="n">
        <x:v>256000000000000</x:v>
      </x:c>
      <x:c r="W28" s="4" t="n"/>
      <x:c r="X28" s="2" t="n"/>
      <x:c r="Y28" s="5" t="n"/>
      <x:c r="Z28" s="5" t="n"/>
      <x:c r="AA28" s="5" t="n"/>
      <x:c r="AB28" s="5" t="n"/>
      <x:c r="AC28" s="5" t="n"/>
      <x:c r="AD28" s="5" t="n"/>
      <x:c r="AE28" s="5" t="n">
        <x:v>7</x:v>
      </x:c>
      <x:c r="AF28" s="5" t="n"/>
      <x:c r="AG28" s="2" t="n"/>
      <x:c r="AH28" s="2" t="n"/>
      <x:c r="AI28" s="2" t="n"/>
      <x:c r="AJ28" s="2" t="inlineStr">
        <x:is>
          <x:t xml:space="preserve">2025-07-21 09:21:12+00:00</x:t>
        </x:is>
      </x:c>
      <x:c r="AK28" s="4" t="n">
        <x:v>256000000000000</x:v>
      </x:c>
      <x:c r="AL28" s="4" t="n">
        <x:v>1600000000000</x:v>
      </x:c>
      <x:c r="AM28" s="4" t="n">
        <x:v>2048000000000000</x:v>
      </x:c>
      <x:c r="AN28" s="4" t="n"/>
      <x:c r="AO28" s="4" t="n">
        <x:v>256000000000000</x:v>
      </x:c>
    </x:row>
    <x:row r="29" s="9" customFormat="1" ht="86.4000015258789" customHeight="1">
      <x:c r="A29" s="2" t="inlineStr">
        <x:is>
          <x:t xml:space="preserve">Baidu Kunlun II</x:t>
        </x:is>
      </x:c>
      <x:c r="B29" s="2" t="str">
        <x:f>IFERROR(VLOOKUP(TRIM($A29),_classification_map!$A$2:$C$227,2,FALSE),"")</x:f>
        <x:v>Kunlun II</x:v>
      </x:c>
      <x:c r="C29" s="2" t="str">
        <x:f>IFERROR(VLOOKUP(TRIM($A29),_classification_map!$A$2:$C$227,3,FALSE),"")</x:f>
        <x:v>Kunlun</x:v>
      </x:c>
      <x:c r="D29" s="2" t="inlineStr">
        <x:is>
          <x:t xml:space="preserve">Kunlunxin Baidu</x:t>
        </x:is>
      </x:c>
      <x:c r="E29" s="2" t="inlineStr">
        <x:is>
          <x:t xml:space="preserve">XPU-R</x:t>
        </x:is>
      </x:c>
      <x:c r="F29" s="2" t="inlineStr">
        <x:is>
          <x:t xml:space="preserve">https://zhuanlan.zhihu.com/p/646793342
https://www.tomshardware.com/news/baidu-unveils-kunlun-ii-processor-for-ai
https://www.hpcwire.com/2021/08/18/baidu-brain-7-0-ai-platform-announced-baidu-kunlun-ii-ai-chips-now-in-mass-production/</x:t>
        </x:is>
      </x:c>
      <x:c r="G29" s="2" t="inlineStr">
        <x:is>
          <x:t xml:space="preserve">2021-08-18</x:t>
        </x:is>
      </x:c>
      <x:c r="H29" s="3" t="n"/>
      <x:c r="I29" s="4" t="n"/>
      <x:c r="J29" s="4" t="n"/>
      <x:c r="K29" s="4" t="n"/>
      <x:c r="L29" s="4" t="n">
        <x:v>32000000000</x:v>
      </x:c>
      <x:c r="M29" s="4" t="n">
        <x:v>512000000000</x:v>
      </x:c>
      <x:c r="N29" s="4" t="n"/>
      <x:c r="O29" s="4" t="n"/>
      <x:c r="P29" s="5" t="n">
        <x:v>150</x:v>
      </x:c>
      <x:c r="Q29" s="4" t="n"/>
      <x:c r="R29" s="4" t="n"/>
      <x:c r="S29" s="4" t="n"/>
      <x:c r="T29" s="4" t="n">
        <x:v>128000000000000</x:v>
      </x:c>
      <x:c r="U29" s="4" t="n"/>
      <x:c r="V29" s="4" t="n">
        <x:v>256000000000000</x:v>
      </x:c>
      <x:c r="W29" s="4" t="n"/>
      <x:c r="X29" s="2" t="n"/>
      <x:c r="Y29" s="5" t="n"/>
      <x:c r="Z29" s="5" t="n"/>
      <x:c r="AA29" s="5" t="n"/>
      <x:c r="AB29" s="5" t="n"/>
      <x:c r="AC29" s="5" t="n"/>
      <x:c r="AD29" s="5" t="n"/>
      <x:c r="AE29" s="5" t="n">
        <x:v>7</x:v>
      </x:c>
      <x:c r="AF29" s="5" t="n"/>
      <x:c r="AG29" s="2" t="inlineStr">
        <x:is>
          <x:t xml:space="preserve">https://web.archive.org/web/20250505083031/https://news.qq.com/rain/a/20221129A02ZKE00</x:t>
        </x:is>
      </x:c>
      <x:c r="AH29" s="2" t="n"/>
      <x:c r="AI29" s="2" t="n"/>
      <x:c r="AJ29" s="2" t="inlineStr">
        <x:is>
          <x:t xml:space="preserve">2025-07-21 09:21:19+00:00</x:t>
        </x:is>
      </x:c>
      <x:c r="AK29" s="4" t="n">
        <x:v>256000000000000</x:v>
      </x:c>
      <x:c r="AL29" s="4" t="n">
        <x:v>1706666666666.67</x:v>
      </x:c>
      <x:c r="AM29" s="4" t="n">
        <x:v>2048000000000000</x:v>
      </x:c>
      <x:c r="AN29" s="4" t="n"/>
      <x:c r="AO29" s="4" t="n">
        <x:v>256000000000000</x:v>
      </x:c>
    </x:row>
    <x:row r="30" s="9" customFormat="1" ht="43.20000076293945" customHeight="1">
      <x:c r="A30" s="2" t="inlineStr">
        <x:is>
          <x:t xml:space="preserve">Baidu Kunlun K200</x:t>
        </x:is>
      </x:c>
      <x:c r="B30" s="2" t="str">
        <x:f>IFERROR(VLOOKUP(TRIM($A30),_classification_map!$A$2:$C$227,2,FALSE),"")</x:f>
        <x:v>K200</x:v>
      </x:c>
      <x:c r="C30" s="2" t="str">
        <x:f>IFERROR(VLOOKUP(TRIM($A30),_classification_map!$A$2:$C$227,3,FALSE),"")</x:f>
        <x:v>Kunlun</x:v>
      </x:c>
      <x:c r="D30" s="2" t="inlineStr">
        <x:is>
          <x:t xml:space="preserve">Kunlunxin Baidu</x:t>
        </x:is>
      </x:c>
      <x:c r="E30" s="2" t="inlineStr">
        <x:is>
          <x:t xml:space="preserve">XPU</x:t>
        </x:is>
      </x:c>
      <x:c r="F30" s="2" t="inlineStr">
        <x:is>
          <x:t xml:space="preserve">https://hc32.hotchips.org/assets/program/conference/day2/HotChips2020_ML_Inference_Baidu_Kunlun_v5.pdf</x:t>
        </x:is>
      </x:c>
      <x:c r="G30" s="2" t="inlineStr">
        <x:is>
          <x:t xml:space="preserve">2020-01-01</x:t>
        </x:is>
      </x:c>
      <x:c r="H30" s="3" t="n"/>
      <x:c r="I30" s="4" t="n"/>
      <x:c r="J30" s="4" t="n"/>
      <x:c r="K30" s="4" t="n"/>
      <x:c r="L30" s="4" t="n">
        <x:v>16000000000</x:v>
      </x:c>
      <x:c r="M30" s="4" t="n">
        <x:v>512000000000</x:v>
      </x:c>
      <x:c r="N30" s="4" t="n"/>
      <x:c r="O30" s="4" t="n"/>
      <x:c r="P30" s="5" t="n">
        <x:v>150</x:v>
      </x:c>
      <x:c r="Q30" s="4" t="n"/>
      <x:c r="R30" s="4" t="n">
        <x:v>16000000000000</x:v>
      </x:c>
      <x:c r="S30" s="4" t="n"/>
      <x:c r="T30" s="4" t="n">
        <x:v>64000000000000</x:v>
      </x:c>
      <x:c r="U30" s="4" t="n">
        <x:v>64000000000000</x:v>
      </x:c>
      <x:c r="V30" s="4" t="n">
        <x:v>256000000000000</x:v>
      </x:c>
      <x:c r="W30" s="4" t="n"/>
      <x:c r="X30" s="2" t="n"/>
      <x:c r="Y30" s="5" t="n">
        <x:v>504</x:v>
      </x:c>
      <x:c r="Z30" s="5" t="n"/>
      <x:c r="AA30" s="5" t="n"/>
      <x:c r="AB30" s="5" t="n"/>
      <x:c r="AC30" s="5" t="n"/>
      <x:c r="AD30" s="5" t="n"/>
      <x:c r="AE30" s="5" t="n">
        <x:v>14</x:v>
      </x:c>
      <x:c r="AF30" s="5" t="n"/>
      <x:c r="AG30" s="2" t="n"/>
      <x:c r="AH30" s="2" t="n"/>
      <x:c r="AI30" s="2" t="n"/>
      <x:c r="AJ30" s="2" t="inlineStr">
        <x:is>
          <x:t xml:space="preserve">2025-07-21 09:23:25+00:00</x:t>
        </x:is>
      </x:c>
      <x:c r="AK30" s="4" t="n">
        <x:v>256000000000000</x:v>
      </x:c>
      <x:c r="AL30" s="4" t="n">
        <x:v>1706666666666.67</x:v>
      </x:c>
      <x:c r="AM30" s="4" t="n">
        <x:v>2048000000000000</x:v>
      </x:c>
      <x:c r="AN30" s="4" t="n"/>
      <x:c r="AO30" s="4" t="n">
        <x:v>256000000000000</x:v>
      </x:c>
    </x:row>
    <x:row r="31" s="9" customFormat="1" ht="72" customHeight="1">
      <x:c r="A31" s="2" t="inlineStr">
        <x:is>
          <x:t xml:space="preserve">Sunway SW26010-Pro</x:t>
        </x:is>
      </x:c>
      <x:c r="B31" s="2" t="str">
        <x:f>IFERROR(VLOOKUP(TRIM($A31),_classification_map!$A$2:$C$227,2,FALSE),"")</x:f>
        <x:v>Pro</x:v>
      </x:c>
      <x:c r="C31" s="2" t="str">
        <x:f>IFERROR(VLOOKUP(TRIM($A31),_classification_map!$A$2:$C$227,3,FALSE),"")</x:f>
        <x:v>SW26010</x:v>
      </x:c>
      <x:c r="D31" s="2" t="inlineStr">
        <x:is>
          <x:t xml:space="preserve">Sunway</x:t>
        </x:is>
      </x:c>
      <x:c r="E31" s="2" t="n"/>
      <x:c r="F31" s="2" t="n"/>
      <x:c r="G31" s="2" t="inlineStr">
        <x:is>
          <x:t xml:space="preserve">2023-11-26</x:t>
        </x:is>
      </x:c>
      <x:c r="H31" s="3" t="n"/>
      <x:c r="I31" s="4" t="n"/>
      <x:c r="J31" s="4" t="n"/>
      <x:c r="K31" s="4" t="n"/>
      <x:c r="L31" s="4" t="n">
        <x:v>96000000000</x:v>
      </x:c>
      <x:c r="M31" s="4" t="n">
        <x:v>307200000000</x:v>
      </x:c>
      <x:c r="N31" s="4" t="n"/>
      <x:c r="O31" s="4" t="n"/>
      <x:c r="P31" s="5" t="n"/>
      <x:c r="Q31" s="4" t="n">
        <x:v>13800000000000</x:v>
      </x:c>
      <x:c r="R31" s="4" t="n">
        <x:v>27600000000000</x:v>
      </x:c>
      <x:c r="S31" s="4" t="n"/>
      <x:c r="T31" s="4" t="n">
        <x:v>55296000000000</x:v>
      </x:c>
      <x:c r="U31" s="4" t="n"/>
      <x:c r="V31" s="4" t="n"/>
      <x:c r="W31" s="4" t="n"/>
      <x:c r="X31" s="2" t="n"/>
      <x:c r="Y31" s="5" t="n"/>
      <x:c r="Z31" s="5" t="n"/>
      <x:c r="AA31" s="5" t="n"/>
      <x:c r="AB31" s="5" t="n"/>
      <x:c r="AC31" s="5" t="n"/>
      <x:c r="AD31" s="5" t="n"/>
      <x:c r="AE31" s="5" t="n">
        <x:v>14</x:v>
      </x:c>
      <x:c r="AF31" s="5" t="n"/>
      <x:c r="AG31" s="2" t="inlineStr">
        <x:is>
          <x:t xml:space="preserve">https://www.tomshardware.com/tech-industry/supercomputers/chinas-secretive-sunway-pro-cpu-quadruples-performance-over-its-predecessor-allowing-the-supercomputer-supercomputer-to-hit-exaflop-speeds</x:t>
        </x:is>
      </x:c>
      <x:c r="AH31" s="2" t="n"/>
      <x:c r="AI31" s="2" t="n"/>
      <x:c r="AJ31" s="2" t="inlineStr">
        <x:is>
          <x:t xml:space="preserve">2025-07-21 09:20:27+00:00</x:t>
        </x:is>
      </x:c>
      <x:c r="AK31" s="4" t="n">
        <x:v>55296000000000</x:v>
      </x:c>
      <x:c r="AL31" s="4" t="n"/>
      <x:c r="AM31" s="4" t="n">
        <x:v>884736000000000</x:v>
      </x:c>
      <x:c r="AN31" s="4" t="n"/>
      <x:c r="AO31" s="4" t="n">
        <x:v>55296000000000</x:v>
      </x:c>
    </x:row>
    <x:row r="32" s="9" customFormat="1" ht="72" customHeight="1">
      <x:c r="A32" s="2" t="inlineStr">
        <x:is>
          <x:t xml:space="preserve">Baidu Kunlun I</x:t>
        </x:is>
      </x:c>
      <x:c r="B32" s="2" t="str">
        <x:f>IFERROR(VLOOKUP(TRIM($A32),_classification_map!$A$2:$C$227,2,FALSE),"")</x:f>
        <x:v>Kunlun I</x:v>
      </x:c>
      <x:c r="C32" s="2" t="str">
        <x:f>IFERROR(VLOOKUP(TRIM($A32),_classification_map!$A$2:$C$227,3,FALSE),"")</x:f>
        <x:v>Kunlun</x:v>
      </x:c>
      <x:c r="D32" s="2" t="inlineStr">
        <x:is>
          <x:t xml:space="preserve">Kunlunxin Baidu</x:t>
        </x:is>
      </x:c>
      <x:c r="E32" s="2" t="inlineStr">
        <x:is>
          <x:t xml:space="preserve">XPU</x:t>
        </x:is>
      </x:c>
      <x:c r="F32" s="2" t="inlineStr">
        <x:is>
          <x:t xml:space="preserve">https://ieeexplore.ieee.org/stamp/stamp.jsp?tp=&amp;arnumber=9366056
https://www.tomshardware.com/news/baidu-unveils-kunlun-ii-processor-for-ai
</x:t>
        </x:is>
      </x:c>
      <x:c r="G32" s="2" t="inlineStr">
        <x:is>
          <x:t xml:space="preserve">2019-01-01</x:t>
        </x:is>
      </x:c>
      <x:c r="H32" s="3" t="n"/>
      <x:c r="I32" s="4" t="n"/>
      <x:c r="J32" s="4" t="n"/>
      <x:c r="K32" s="4" t="n"/>
      <x:c r="L32" s="4" t="n"/>
      <x:c r="M32" s="4" t="n">
        <x:v>512000000000</x:v>
      </x:c>
      <x:c r="N32" s="4" t="n"/>
      <x:c r="O32" s="4" t="n"/>
      <x:c r="P32" s="5" t="n">
        <x:v>150</x:v>
      </x:c>
      <x:c r="Q32" s="4" t="n"/>
      <x:c r="R32" s="4" t="n">
        <x:v>16000000000000</x:v>
      </x:c>
      <x:c r="S32" s="4" t="n"/>
      <x:c r="T32" s="4" t="n">
        <x:v>64000000000000</x:v>
      </x:c>
      <x:c r="U32" s="4" t="n">
        <x:v>64000000000000</x:v>
      </x:c>
      <x:c r="V32" s="4" t="n">
        <x:v>256000000000000</x:v>
      </x:c>
      <x:c r="W32" s="4" t="n"/>
      <x:c r="X32" s="2" t="n"/>
      <x:c r="Y32" s="5" t="n">
        <x:v>500</x:v>
      </x:c>
      <x:c r="Z32" s="5" t="n"/>
      <x:c r="AA32" s="5" t="n"/>
      <x:c r="AB32" s="5" t="n"/>
      <x:c r="AC32" s="5" t="n"/>
      <x:c r="AD32" s="5" t="n"/>
      <x:c r="AE32" s="5" t="n">
        <x:v>14</x:v>
      </x:c>
      <x:c r="AF32" s="5" t="n"/>
      <x:c r="AG32" s="2" t="n"/>
      <x:c r="AH32" s="2" t="n"/>
      <x:c r="AI32" s="2" t="n"/>
      <x:c r="AJ32" s="2" t="inlineStr">
        <x:is>
          <x:t xml:space="preserve">2025-07-21 09:26:24+00:00</x:t>
        </x:is>
      </x:c>
      <x:c r="AK32" s="4" t="n">
        <x:v>256000000000000</x:v>
      </x:c>
      <x:c r="AL32" s="4" t="n">
        <x:v>1706666666666.67</x:v>
      </x:c>
      <x:c r="AM32" s="4" t="n">
        <x:v>2048000000000000</x:v>
      </x:c>
      <x:c r="AN32" s="4" t="n"/>
      <x:c r="AO32" s="4" t="n">
        <x:v>256000000000000</x:v>
      </x:c>
    </x:row>
    <x:row r="33" s="9" customFormat="1" ht="28.799999237060547" customHeight="1">
      <x:c r="A33" s="2" t="inlineStr">
        <x:is>
          <x:t xml:space="preserve">NVIDIA Tesla P100 PCIe 12GB</x:t>
        </x:is>
      </x:c>
      <x:c r="B33" s="2" t="str">
        <x:f>IFERROR(VLOOKUP(TRIM($A33),_classification_map!$A$2:$C$227,2,FALSE),"")</x:f>
        <x:v>Pascal</x:v>
      </x:c>
      <x:c r="C33" s="2" t="str">
        <x:f>IFERROR(VLOOKUP(TRIM($A33),_classification_map!$A$2:$C$227,3,FALSE),"")</x:f>
        <x:v>Tesla</x:v>
      </x:c>
      <x:c r="D33" s="2" t="inlineStr">
        <x:is>
          <x:t xml:space="preserve">NVIDIA</x:t>
        </x:is>
      </x:c>
      <x:c r="E33" s="2" t="inlineStr">
        <x:is>
          <x:t xml:space="preserve">GPU</x:t>
        </x:is>
      </x:c>
      <x:c r="F33" s="2" t="n"/>
      <x:c r="G33" s="2" t="inlineStr">
        <x:is>
          <x:t xml:space="preserve">2016-06-20</x:t>
        </x:is>
      </x:c>
      <x:c r="H33" s="3" t="n"/>
      <x:c r="I33" s="4" t="n"/>
      <x:c r="J33" s="4" t="n"/>
      <x:c r="K33" s="4" t="n"/>
      <x:c r="L33" s="4" t="n"/>
      <x:c r="M33" s="4" t="n">
        <x:v>549100000000</x:v>
      </x:c>
      <x:c r="N33" s="4" t="n"/>
      <x:c r="O33" s="4" t="n"/>
      <x:c r="P33" s="5" t="n">
        <x:v>250</x:v>
      </x:c>
      <x:c r="Q33" s="4" t="n">
        <x:v>4763000000000</x:v>
      </x:c>
      <x:c r="R33" s="4" t="n">
        <x:v>9526000000000</x:v>
      </x:c>
      <x:c r="S33" s="4" t="n"/>
      <x:c r="T33" s="4" t="n">
        <x:v>19050000000000</x:v>
      </x:c>
      <x:c r="U33" s="4" t="n"/>
      <x:c r="V33" s="4" t="n"/>
      <x:c r="W33" s="4" t="n"/>
      <x:c r="X33" s="2" t="inlineStr">
        <x:is>
          <x:t xml:space="preserve">TSMC</x:t>
        </x:is>
      </x:c>
      <x:c r="Y33" s="5" t="n">
        <x:v>610</x:v>
      </x:c>
      <x:c r="Z33" s="5" t="n">
        <x:v>1190</x:v>
      </x:c>
      <x:c r="AA33" s="5" t="n"/>
      <x:c r="AB33" s="5" t="n"/>
      <x:c r="AC33" s="5" t="n"/>
      <x:c r="AD33" s="5" t="n"/>
      <x:c r="AE33" s="5" t="n">
        <x:v>16</x:v>
      </x:c>
      <x:c r="AF33" s="5" t="n">
        <x:v>15300</x:v>
      </x:c>
      <x:c r="AG33" s="2" t="inlineStr">
        <x:is>
          <x:t xml:space="preserve">https://www.techpowerup.com/gpu-specs/tesla-p100-pcie-12-gb.c2915</x:t>
        </x:is>
      </x:c>
      <x:c r="AH33" s="2" t="n"/>
      <x:c r="AI33" s="2" t="n"/>
      <x:c r="AJ33" s="2" t="inlineStr">
        <x:is>
          <x:t xml:space="preserve">2025-07-21 09:56:35+00:00</x:t>
        </x:is>
      </x:c>
      <x:c r="AK33" s="4" t="n">
        <x:v>19050000000000</x:v>
      </x:c>
      <x:c r="AL33" s="4" t="n">
        <x:v>76200000000</x:v>
      </x:c>
      <x:c r="AM33" s="4" t="n">
        <x:v>304832000000000</x:v>
      </x:c>
      <x:c r="AN33" s="4" t="n"/>
      <x:c r="AO33" s="4" t="n">
        <x:v>19050000000000</x:v>
      </x:c>
    </x:row>
    <x:row r="34" s="9" customFormat="1" ht="72" customHeight="1">
      <x:c r="A34" s="2" t="inlineStr">
        <x:is>
          <x:t xml:space="preserve">Google TPU v2</x:t>
        </x:is>
      </x:c>
      <x:c r="B34" s="2" t="str">
        <x:f>IFERROR(VLOOKUP(TRIM($A34),_classification_map!$A$2:$C$227,2,FALSE),"")</x:f>
        <x:v>TPU v2</x:v>
      </x:c>
      <x:c r="C34" s="2" t="str">
        <x:f>IFERROR(VLOOKUP(TRIM($A34),_classification_map!$A$2:$C$227,3,FALSE),"")</x:f>
        <x:v>TPU</x:v>
      </x:c>
      <x:c r="D34" s="2" t="inlineStr">
        <x:is>
          <x:t xml:space="preserve">Google</x:t>
        </x:is>
      </x:c>
      <x:c r="E34" s="2" t="inlineStr">
        <x:is>
          <x:t xml:space="preserve">TPU</x:t>
        </x:is>
      </x:c>
      <x:c r="F34" s="2" t="inlineStr">
        <x:is>
          <x:t xml:space="preserve">Some sources claim 45 TFLOP/s, but Jouppi et. al., authored by Google's TPU lead, disclose 46 TFLOP/s peak</x:t>
        </x:is>
      </x:c>
      <x:c r="G34" s="2" t="inlineStr">
        <x:is>
          <x:t xml:space="preserve">2017-05-01</x:t>
        </x:is>
      </x:c>
      <x:c r="H34" s="3" t="n"/>
      <x:c r="I34" s="4" t="n">
        <x:v>46000000000000</x:v>
      </x:c>
      <x:c r="J34" s="4" t="n"/>
      <x:c r="K34" s="4" t="n"/>
      <x:c r="L34" s="4" t="n">
        <x:v>16000000000</x:v>
      </x:c>
      <x:c r="M34" s="4" t="n">
        <x:v>600000000000</x:v>
      </x:c>
      <x:c r="N34" s="4" t="n"/>
      <x:c r="O34" s="4" t="n"/>
      <x:c r="P34" s="5" t="n">
        <x:v>280</x:v>
      </x:c>
      <x:c r="Q34" s="4" t="n"/>
      <x:c r="R34" s="4" t="n">
        <x:v>3000000000000</x:v>
      </x:c>
      <x:c r="S34" s="4" t="n"/>
      <x:c r="T34" s="4" t="n"/>
      <x:c r="U34" s="4" t="n"/>
      <x:c r="V34" s="4" t="n"/>
      <x:c r="W34" s="4" t="n"/>
      <x:c r="X34" s="2" t="n"/>
      <x:c r="Y34" s="5" t="n"/>
      <x:c r="Z34" s="5" t="n"/>
      <x:c r="AA34" s="5" t="n"/>
      <x:c r="AB34" s="5" t="n"/>
      <x:c r="AC34" s="5" t="n"/>
      <x:c r="AD34" s="5" t="n"/>
      <x:c r="AE34" s="5" t="n">
        <x:v>16</x:v>
      </x:c>
      <x:c r="AF34" s="5" t="n"/>
      <x:c r="AG34" s="2" t="inlineStr">
        <x:is>
          <x:t xml:space="preserve">https://dl.acm.org/doi/pdf/10.1145/3360307</x:t>
        </x:is>
      </x:c>
      <x:c r="AH34" s="2" t="n"/>
      <x:c r="AI34" s="2" t="inlineStr">
        <x:is>
          <x:t xml:space="preserve">AlphaZero,BERT-Large,Mesh-TensorFlow Transformer 4.9B (language),Mesh-TensorFlow Transformer 2.9B (translation),Soccer Robot,Transformer-XL + RelationLM,Transformer-XL + AutoDropout (PTB),AraBERT,LIMoE-H/14,Evolved Transformer,FFN SwiGLU</x:t>
        </x:is>
      </x:c>
      <x:c r="AJ34" s="2" t="inlineStr">
        <x:is>
          <x:t xml:space="preserve">2026-03-18 12:56:18+00:00</x:t>
        </x:is>
      </x:c>
      <x:c r="AK34" s="4" t="n">
        <x:v>46000000000000</x:v>
      </x:c>
      <x:c r="AL34" s="4" t="n">
        <x:v>164285714285.714</x:v>
      </x:c>
      <x:c r="AM34" s="4" t="n">
        <x:v>720000000000000</x:v>
      </x:c>
      <x:c r="AN34" s="4" t="n"/>
      <x:c r="AO34" s="4" t="n">
        <x:v>46000000000000</x:v>
      </x:c>
    </x:row>
    <x:row r="35" s="9" customFormat="1" ht="28.799999237060547" customHeight="1">
      <x:c r="A35" s="2" t="inlineStr">
        <x:is>
          <x:t xml:space="preserve">NVIDIA A10</x:t>
        </x:is>
      </x:c>
      <x:c r="B35" s="2" t="str">
        <x:f>IFERROR(VLOOKUP(TRIM($A35),_classification_map!$A$2:$C$227,2,FALSE),"")</x:f>
        <x:v>Ampere</x:v>
      </x:c>
      <x:c r="C35" s="2" t="str">
        <x:f>IFERROR(VLOOKUP(TRIM($A35),_classification_map!$A$2:$C$227,3,FALSE),"")</x:f>
        <x:v>Datacenter A-series</x:v>
      </x:c>
      <x:c r="D35" s="2" t="inlineStr">
        <x:is>
          <x:t xml:space="preserve">NVIDIA</x:t>
        </x:is>
      </x:c>
      <x:c r="E35" s="2" t="inlineStr">
        <x:is>
          <x:t xml:space="preserve">GPU</x:t>
        </x:is>
      </x:c>
      <x:c r="F35" s="2" t="inlineStr">
        <x:is>
          <x:t xml:space="preserve">Ampere; data center GPU</x:t>
        </x:is>
      </x:c>
      <x:c r="G35" s="2" t="inlineStr">
        <x:is>
          <x:t xml:space="preserve">2021-04-21</x:t>
        </x:is>
      </x:c>
      <x:c r="H35" s="3" t="n"/>
      <x:c r="I35" s="4" t="n">
        <x:v>125000000000000</x:v>
      </x:c>
      <x:c r="J35" s="4" t="n"/>
      <x:c r="K35" s="4" t="n"/>
      <x:c r="L35" s="4" t="n">
        <x:v>25769803776</x:v>
      </x:c>
      <x:c r="M35" s="4" t="n">
        <x:v>600000000000</x:v>
      </x:c>
      <x:c r="N35" s="4" t="n">
        <x:v>64000000000</x:v>
      </x:c>
      <x:c r="O35" s="4" t="n"/>
      <x:c r="P35" s="5" t="n">
        <x:v>150</x:v>
      </x:c>
      <x:c r="Q35" s="4" t="n"/>
      <x:c r="R35" s="4" t="n">
        <x:v>31200000000000</x:v>
      </x:c>
      <x:c r="S35" s="4" t="n">
        <x:v>62500000000000</x:v>
      </x:c>
      <x:c r="T35" s="4" t="n">
        <x:v>125000000000000</x:v>
      </x:c>
      <x:c r="U35" s="4" t="n"/>
      <x:c r="V35" s="4" t="n">
        <x:v>250000000000000</x:v>
      </x:c>
      <x:c r="W35" s="4" t="n">
        <x:v>500000000000000</x:v>
      </x:c>
      <x:c r="X35" s="2" t="n"/>
      <x:c r="Y35" s="5" t="n"/>
      <x:c r="Z35" s="5" t="n"/>
      <x:c r="AA35" s="5" t="n"/>
      <x:c r="AB35" s="5" t="n"/>
      <x:c r="AC35" s="5" t="n"/>
      <x:c r="AD35" s="5" t="n"/>
      <x:c r="AE35" s="5" t="n"/>
      <x:c r="AF35" s="5" t="n"/>
      <x:c r="AG35" s="2" t="inlineStr">
        <x:is>
          <x:t xml:space="preserve">https://www.nvidia.com/en-us/data-center/products/a10-gpu/</x:t>
        </x:is>
      </x:c>
      <x:c r="AH35" s="2" t="n"/>
      <x:c r="AI35" s="2" t="n"/>
      <x:c r="AJ35" s="2" t="n"/>
      <x:c r="AK35" s="4" t="n"/>
      <x:c r="AL35" s="4" t="n"/>
      <x:c r="AM35" s="4" t="n"/>
      <x:c r="AN35" s="4" t="n"/>
      <x:c r="AO35" s="4" t="n"/>
    </x:row>
    <x:row r="36" s="9" customFormat="1" ht="43.20000076293945" customHeight="1">
      <x:c r="A36" s="2" t="inlineStr">
        <x:is>
          <x:t xml:space="preserve">NVIDIA GH200</x:t>
        </x:is>
      </x:c>
      <x:c r="B36" s="2" t="str">
        <x:f>IFERROR(VLOOKUP(TRIM($A36),_classification_map!$A$2:$C$227,2,FALSE),"")</x:f>
        <x:v>Hopper</x:v>
      </x:c>
      <x:c r="C36" s="2" t="str">
        <x:f>IFERROR(VLOOKUP(TRIM($A36),_classification_map!$A$2:$C$227,3,FALSE),"")</x:f>
        <x:v>Grace Hopper</x:v>
      </x:c>
      <x:c r="D36" s="2" t="inlineStr">
        <x:is>
          <x:t xml:space="preserve">NVIDIA</x:t>
        </x:is>
      </x:c>
      <x:c r="E36" s="2" t="inlineStr">
        <x:is>
          <x:t xml:space="preserve">GPU</x:t>
        </x:is>
      </x:c>
      <x:c r="F36" s="2" t="n"/>
      <x:c r="G36" s="2" t="inlineStr">
        <x:is>
          <x:t xml:space="preserve">2023-08-08</x:t>
        </x:is>
      </x:c>
      <x:c r="H36" s="3" t="n"/>
      <x:c r="I36" s="4" t="n">
        <x:v>989500000000000</x:v>
      </x:c>
      <x:c r="J36" s="4" t="n"/>
      <x:c r="K36" s="4" t="n"/>
      <x:c r="L36" s="4" t="n"/>
      <x:c r="M36" s="4" t="n">
        <x:v>4900000000000</x:v>
      </x:c>
      <x:c r="N36" s="4" t="n"/>
      <x:c r="O36" s="4" t="n"/>
      <x:c r="P36" s="5" t="n">
        <x:v>700</x:v>
      </x:c>
      <x:c r="Q36" s="4" t="n">
        <x:v>33450000000000</x:v>
      </x:c>
      <x:c r="R36" s="4" t="n">
        <x:v>66910000000000</x:v>
      </x:c>
      <x:c r="S36" s="4" t="n">
        <x:v>494500000000000</x:v>
      </x:c>
      <x:c r="T36" s="4" t="n"/>
      <x:c r="U36" s="4" t="n"/>
      <x:c r="V36" s="4" t="n">
        <x:v>1979000000000000</x:v>
      </x:c>
      <x:c r="W36" s="4" t="n"/>
      <x:c r="X36" s="2" t="inlineStr">
        <x:is>
          <x:t xml:space="preserve">TSMC</x:t>
        </x:is>
      </x:c>
      <x:c r="Y36" s="5" t="n"/>
      <x:c r="Z36" s="5" t="n"/>
      <x:c r="AA36" s="5" t="n"/>
      <x:c r="AB36" s="5" t="n"/>
      <x:c r="AC36" s="5" t="n"/>
      <x:c r="AD36" s="5" t="n"/>
      <x:c r="AE36" s="5" t="n">
        <x:v>5</x:v>
      </x:c>
      <x:c r="AF36" s="5" t="n"/>
      <x:c r="AG36" s="2" t="inlineStr">
        <x:is>
          <x:t xml:space="preserve">https://resources.nvidia.com/en-us-data-center-overview-mc/en-us-data-center-overview/grace-hopper-superchip-datasheet-partner</x:t>
        </x:is>
      </x:c>
      <x:c r="AH36" s="2" t="n"/>
      <x:c r="AI36" s="2" t="inlineStr">
        <x:is>
          <x:t xml:space="preserve">Bielik 7B,Bielik-11B-v2,Apertus 8B,Apertus 70B</x:t>
        </x:is>
      </x:c>
      <x:c r="AJ36" s="2" t="inlineStr">
        <x:is>
          <x:t xml:space="preserve">2026-03-18 12:56:18+00:00</x:t>
        </x:is>
      </x:c>
      <x:c r="AK36" s="4" t="n">
        <x:v>1979000000000000</x:v>
      </x:c>
      <x:c r="AL36" s="4" t="n">
        <x:v>2827142857142.86</x:v>
      </x:c>
      <x:c r="AM36" s="4" t="n">
        <x:v>1.5832e+16</x:v>
      </x:c>
      <x:c r="AN36" s="4" t="n"/>
      <x:c r="AO36" s="4" t="n">
        <x:v>1979000000000000</x:v>
      </x:c>
    </x:row>
    <x:row r="37">
      <x:c r="A37" s="2" t="inlineStr">
        <x:is>
          <x:t xml:space="preserve">NVIDIA A10G</x:t>
        </x:is>
      </x:c>
      <x:c r="B37" s="2" t="str">
        <x:f>IFERROR(VLOOKUP(TRIM($A37),_classification_map!$A$2:$C$227,2,FALSE),"")</x:f>
        <x:v>Ampere</x:v>
      </x:c>
      <x:c r="C37" s="2" t="str">
        <x:f>IFERROR(VLOOKUP(TRIM($A37),_classification_map!$A$2:$C$227,3,FALSE),"")</x:f>
        <x:v>Datacenter A-series</x:v>
      </x:c>
      <x:c r="D37" s="2" t="inlineStr">
        <x:is>
          <x:t xml:space="preserve">NVIDIA</x:t>
        </x:is>
      </x:c>
      <x:c r="E37" s="2" t="inlineStr">
        <x:is>
          <x:t xml:space="preserve">GPU</x:t>
        </x:is>
      </x:c>
      <x:c r="F37" s="2" t="n"/>
      <x:c r="G37" s="2" t="inlineStr">
        <x:is>
          <x:t xml:space="preserve">2021-04-12</x:t>
        </x:is>
      </x:c>
      <x:c r="H37" s="3" t="n"/>
      <x:c r="I37" s="4" t="n">
        <x:v>125000000000000</x:v>
      </x:c>
      <x:c r="J37" s="4" t="n"/>
      <x:c r="K37" s="4" t="n"/>
      <x:c r="L37" s="4" t="n">
        <x:v>24000000000</x:v>
      </x:c>
      <x:c r="M37" s="4" t="n">
        <x:v>600200000000</x:v>
      </x:c>
      <x:c r="N37" s="4" t="n"/>
      <x:c r="O37" s="4" t="n"/>
      <x:c r="P37" s="5" t="n">
        <x:v>150</x:v>
      </x:c>
      <x:c r="Q37" s="4" t="n">
        <x:v>985000000000</x:v>
      </x:c>
      <x:c r="R37" s="4" t="n">
        <x:v>31500000000000</x:v>
      </x:c>
      <x:c r="S37" s="4" t="n"/>
      <x:c r="T37" s="4" t="n">
        <x:v>31500000000000</x:v>
      </x:c>
      <x:c r="U37" s="4" t="n"/>
      <x:c r="V37" s="4" t="n"/>
      <x:c r="W37" s="4" t="n"/>
      <x:c r="X37" s="2" t="inlineStr">
        <x:is>
          <x:t xml:space="preserve">Samsung</x:t>
        </x:is>
      </x:c>
      <x:c r="Y37" s="5" t="n">
        <x:v>628</x:v>
      </x:c>
      <x:c r="Z37" s="5" t="n">
        <x:v>1320</x:v>
      </x:c>
      <x:c r="AA37" s="5" t="n">
        <x:v>1710</x:v>
      </x:c>
      <x:c r="AB37" s="5" t="n">
        <x:v>1563</x:v>
      </x:c>
      <x:c r="AC37" s="5" t="n">
        <x:v>384</x:v>
      </x:c>
      <x:c r="AD37" s="5" t="n">
        <x:v>288</x:v>
      </x:c>
      <x:c r="AE37" s="5" t="n">
        <x:v>8</x:v>
      </x:c>
      <x:c r="AF37" s="5" t="n">
        <x:v>28300</x:v>
      </x:c>
      <x:c r="AG37" s="2" t="inlineStr">
        <x:is>
          <x:t xml:space="preserve">https://www.techpowerup.com/gpu-specs/a10g.c3798</x:t>
        </x:is>
      </x:c>
      <x:c r="AH37" s="2" t="n"/>
      <x:c r="AI37" s="2" t="inlineStr">
        <x:is>
          <x:t xml:space="preserve">TimeGPT-1</x:t>
        </x:is>
      </x:c>
      <x:c r="AJ37" s="2" t="inlineStr">
        <x:is>
          <x:t xml:space="preserve">2026-03-18 12:56:18+00:00</x:t>
        </x:is>
      </x:c>
      <x:c r="AK37" s="4" t="n">
        <x:v>31500000000000</x:v>
      </x:c>
      <x:c r="AL37" s="4" t="n">
        <x:v>210000000000</x:v>
      </x:c>
      <x:c r="AM37" s="4" t="n">
        <x:v>1008000000000000</x:v>
      </x:c>
      <x:c r="AN37" s="4" t="n"/>
      <x:c r="AO37" s="4" t="n">
        <x:v>31500000000000</x:v>
      </x:c>
    </x:row>
    <x:row r="38" s="9" customFormat="1" ht="43.20000076293945" customHeight="1">
      <x:c r="A38" s="2" t="inlineStr">
        <x:is>
          <x:t xml:space="preserve">NVIDIA A10 PCIe</x:t>
        </x:is>
      </x:c>
      <x:c r="B38" s="2" t="str">
        <x:f>IFERROR(VLOOKUP(TRIM($A38),_classification_map!$A$2:$C$227,2,FALSE),"")</x:f>
        <x:v>Ampere</x:v>
      </x:c>
      <x:c r="C38" s="2" t="str">
        <x:f>IFERROR(VLOOKUP(TRIM($A38),_classification_map!$A$2:$C$227,3,FALSE),"")</x:f>
        <x:v>Datacenter A-series</x:v>
      </x:c>
      <x:c r="D38" s="2" t="inlineStr">
        <x:is>
          <x:t xml:space="preserve">NVIDIA</x:t>
        </x:is>
      </x:c>
      <x:c r="E38" s="2" t="inlineStr">
        <x:is>
          <x:t xml:space="preserve">GPU</x:t>
        </x:is>
      </x:c>
      <x:c r="F38" s="2" t="n"/>
      <x:c r="G38" s="2" t="inlineStr">
        <x:is>
          <x:t xml:space="preserve">2021-04-12</x:t>
        </x:is>
      </x:c>
      <x:c r="H38" s="3" t="n">
        <x:v>2800</x:v>
      </x:c>
      <x:c r="I38" s="4" t="n">
        <x:v>165000000000000</x:v>
      </x:c>
      <x:c r="J38" s="4" t="n"/>
      <x:c r="K38" s="4" t="n"/>
      <x:c r="L38" s="4" t="n">
        <x:v>24000000000</x:v>
      </x:c>
      <x:c r="M38" s="4" t="n">
        <x:v>600200000000</x:v>
      </x:c>
      <x:c r="N38" s="4" t="n"/>
      <x:c r="O38" s="4" t="n"/>
      <x:c r="P38" s="5" t="n">
        <x:v>150</x:v>
      </x:c>
      <x:c r="Q38" s="4" t="n">
        <x:v>976300000000</x:v>
      </x:c>
      <x:c r="R38" s="4" t="n">
        <x:v>31240000000000</x:v>
      </x:c>
      <x:c r="S38" s="4" t="n"/>
      <x:c r="T38" s="4" t="n">
        <x:v>31240000000000</x:v>
      </x:c>
      <x:c r="U38" s="4" t="n"/>
      <x:c r="V38" s="4" t="n">
        <x:v>250000000000000</x:v>
      </x:c>
      <x:c r="W38" s="4" t="n"/>
      <x:c r="X38" s="2" t="inlineStr">
        <x:is>
          <x:t xml:space="preserve">Samsung</x:t>
        </x:is>
      </x:c>
      <x:c r="Y38" s="5" t="n">
        <x:v>628</x:v>
      </x:c>
      <x:c r="Z38" s="5" t="n">
        <x:v>885</x:v>
      </x:c>
      <x:c r="AA38" s="5" t="n">
        <x:v>1695</x:v>
      </x:c>
      <x:c r="AB38" s="5" t="n"/>
      <x:c r="AC38" s="5" t="n">
        <x:v>384</x:v>
      </x:c>
      <x:c r="AD38" s="5" t="n">
        <x:v>288</x:v>
      </x:c>
      <x:c r="AE38" s="5" t="n">
        <x:v>8</x:v>
      </x:c>
      <x:c r="AF38" s="5" t="n">
        <x:v>28300</x:v>
      </x:c>
      <x:c r="AG38" s="2" t="inlineStr">
        <x:is>
          <x:t xml:space="preserve">https://www.techpowerup.com/gpu-specs/a10-pcie.c3793#:~:text=The%20A10%20PCIe%20is%20a,card%20supports%20DirectX%2012%20Ultimate.</x:t>
        </x:is>
      </x:c>
      <x:c r="AH38" s="2" t="inlineStr">
        <x:is>
          <x:t xml:space="preserve">https://www.nextplatform.com/2021/04/15/nvidia-rounds-out-ampere-lineup-with-two-new-accelerators/</x:t>
        </x:is>
      </x:c>
      <x:c r="AI38" s="2" t="inlineStr">
        <x:is>
          <x:t xml:space="preserve">Goat-7B</x:t>
        </x:is>
      </x:c>
      <x:c r="AJ38" s="2" t="inlineStr">
        <x:is>
          <x:t xml:space="preserve">2026-03-18 12:56:18+00:00</x:t>
        </x:is>
      </x:c>
      <x:c r="AK38" s="4" t="n">
        <x:v>250000000000000</x:v>
      </x:c>
      <x:c r="AL38" s="4" t="n">
        <x:v>1666666666666.67</x:v>
      </x:c>
      <x:c r="AM38" s="4" t="n">
        <x:v>2000000000000000</x:v>
      </x:c>
      <x:c r="AN38" s="4" t="n">
        <x:v>89285714285.71429</x:v>
      </x:c>
      <x:c r="AO38" s="4" t="n">
        <x:v>250000000000000</x:v>
      </x:c>
    </x:row>
    <x:row r="39" s="9" customFormat="1" ht="43.20000076293945" customHeight="1">
      <x:c r="A39" s="2" t="inlineStr">
        <x:is>
          <x:t xml:space="preserve">Google TPU v4i</x:t>
        </x:is>
      </x:c>
      <x:c r="B39" s="2" t="str">
        <x:f>IFERROR(VLOOKUP(TRIM($A39),_classification_map!$A$2:$C$227,2,FALSE),"")</x:f>
        <x:v>TPU v4i</x:v>
      </x:c>
      <x:c r="C39" s="2" t="str">
        <x:f>IFERROR(VLOOKUP(TRIM($A39),_classification_map!$A$2:$C$227,3,FALSE),"")</x:f>
        <x:v>TPU</x:v>
      </x:c>
      <x:c r="D39" s="2" t="inlineStr">
        <x:is>
          <x:t xml:space="preserve">Google</x:t>
        </x:is>
      </x:c>
      <x:c r="E39" s="2" t="inlineStr">
        <x:is>
          <x:t xml:space="preserve">TPU</x:t>
        </x:is>
      </x:c>
      <x:c r="F39" s="2" t="n"/>
      <x:c r="G39" s="2" t="inlineStr">
        <x:is>
          <x:t xml:space="preserve">2020-01-01</x:t>
        </x:is>
      </x:c>
      <x:c r="H39" s="3" t="n"/>
      <x:c r="I39" s="4" t="n">
        <x:v>138000000000000</x:v>
      </x:c>
      <x:c r="J39" s="4" t="n"/>
      <x:c r="K39" s="4" t="n"/>
      <x:c r="L39" s="4" t="n">
        <x:v>8000000000</x:v>
      </x:c>
      <x:c r="M39" s="4" t="n">
        <x:v>614000000000</x:v>
      </x:c>
      <x:c r="N39" s="4" t="n"/>
      <x:c r="O39" s="4" t="n"/>
      <x:c r="P39" s="5" t="n">
        <x:v>175</x:v>
      </x:c>
      <x:c r="Q39" s="4" t="n"/>
      <x:c r="R39" s="4" t="n"/>
      <x:c r="S39" s="4" t="n"/>
      <x:c r="T39" s="4" t="n"/>
      <x:c r="U39" s="4" t="n"/>
      <x:c r="V39" s="4" t="n"/>
      <x:c r="W39" s="4" t="n"/>
      <x:c r="X39" s="2" t="n"/>
      <x:c r="Y39" s="5" t="n">
        <x:v>400</x:v>
      </x:c>
      <x:c r="Z39" s="5" t="n">
        <x:v>1055</x:v>
      </x:c>
      <x:c r="AA39" s="5" t="n"/>
      <x:c r="AB39" s="5" t="n"/>
      <x:c r="AC39" s="5" t="n"/>
      <x:c r="AD39" s="5" t="n"/>
      <x:c r="AE39" s="5" t="n">
        <x:v>7</x:v>
      </x:c>
      <x:c r="AF39" s="5" t="n">
        <x:v>16000</x:v>
      </x:c>
      <x:c r="AG39" s="2" t="inlineStr">
        <x:is>
          <x:t xml:space="preserve">https://ieeexplore.ieee.org/document/9499913
summary here: https://parsa.epfl.ch/course-info/cs723/lectures/hw_accel.pdf </x:t>
        </x:is>
      </x:c>
      <x:c r="AH39" s="2" t="n"/>
      <x:c r="AI39" s="2" t="n"/>
      <x:c r="AJ39" s="2" t="inlineStr">
        <x:is>
          <x:t xml:space="preserve">2025-12-12 23:08:31+00:00</x:t>
        </x:is>
      </x:c>
      <x:c r="AK39" s="4" t="n">
        <x:v>138000000000000</x:v>
      </x:c>
      <x:c r="AL39" s="4" t="n">
        <x:v>788571428571.429</x:v>
      </x:c>
      <x:c r="AM39" s="4" t="n">
        <x:v>2208000000000000</x:v>
      </x:c>
      <x:c r="AN39" s="4" t="n"/>
      <x:c r="AO39" s="4" t="n">
        <x:v>138000000000000</x:v>
      </x:c>
    </x:row>
    <x:row r="40" s="9" customFormat="1" ht="43.20000076293945" customHeight="1">
      <x:c r="A40" s="2" t="inlineStr">
        <x:is>
          <x:t xml:space="preserve">Cambricon MLU370-X8</x:t>
        </x:is>
      </x:c>
      <x:c r="B40" s="2" t="str">
        <x:f>IFERROR(VLOOKUP(TRIM($A40),_classification_map!$A$2:$C$227,2,FALSE),"")</x:f>
        <x:v>MLU370</x:v>
      </x:c>
      <x:c r="C40" s="2" t="str">
        <x:f>IFERROR(VLOOKUP(TRIM($A40),_classification_map!$A$2:$C$227,3,FALSE),"")</x:f>
        <x:v>MLU</x:v>
      </x:c>
      <x:c r="D40" s="2" t="inlineStr">
        <x:is>
          <x:t xml:space="preserve">Cambricon</x:t>
        </x:is>
      </x:c>
      <x:c r="E40" s="2" t="n"/>
      <x:c r="F40" s="2" t="inlineStr">
        <x:is>
          <x:t xml:space="preserve">https://www.cambricon.com/index.php?m=content&amp;c=index&amp;a=lists&amp;catid=406
https://archive.ph/5cIeg</x:t>
        </x:is>
      </x:c>
      <x:c r="G40" s="2" t="inlineStr">
        <x:is>
          <x:t xml:space="preserve">2022-03-21</x:t>
        </x:is>
      </x:c>
      <x:c r="H40" s="3" t="n"/>
      <x:c r="I40" s="4" t="n"/>
      <x:c r="J40" s="4" t="n"/>
      <x:c r="K40" s="4" t="n"/>
      <x:c r="L40" s="4" t="n">
        <x:v>48000000000</x:v>
      </x:c>
      <x:c r="M40" s="4" t="n">
        <x:v>614400000000</x:v>
      </x:c>
      <x:c r="N40" s="4" t="n"/>
      <x:c r="O40" s="4" t="n"/>
      <x:c r="P40" s="5" t="n">
        <x:v>250</x:v>
      </x:c>
      <x:c r="Q40" s="4" t="n"/>
      <x:c r="R40" s="4" t="n">
        <x:v>24000000000000</x:v>
      </x:c>
      <x:c r="S40" s="4" t="n"/>
      <x:c r="T40" s="4" t="n">
        <x:v>96000000000000</x:v>
      </x:c>
      <x:c r="U40" s="4" t="n">
        <x:v>128000000000000</x:v>
      </x:c>
      <x:c r="V40" s="4" t="n">
        <x:v>256000000000000</x:v>
      </x:c>
      <x:c r="W40" s="4" t="n"/>
      <x:c r="X40" s="2" t="n"/>
      <x:c r="Y40" s="5" t="n"/>
      <x:c r="Z40" s="5" t="n"/>
      <x:c r="AA40" s="5" t="n"/>
      <x:c r="AB40" s="5" t="n"/>
      <x:c r="AC40" s="5" t="n"/>
      <x:c r="AD40" s="5" t="n"/>
      <x:c r="AE40" s="5" t="n">
        <x:v>7</x:v>
      </x:c>
      <x:c r="AF40" s="5" t="n"/>
      <x:c r="AG40" s="2" t="inlineStr">
        <x:is>
          <x:t xml:space="preserve">https://perma.cc/H4JT-SZNV</x:t>
        </x:is>
      </x:c>
      <x:c r="AH40" s="2" t="n"/>
      <x:c r="AI40" s="2" t="n"/>
      <x:c r="AJ40" s="2" t="inlineStr">
        <x:is>
          <x:t xml:space="preserve">2026-01-14 11:35:07+00:00</x:t>
        </x:is>
      </x:c>
      <x:c r="AK40" s="4" t="n">
        <x:v>256000000000000</x:v>
      </x:c>
      <x:c r="AL40" s="4" t="n">
        <x:v>1024000000000</x:v>
      </x:c>
      <x:c r="AM40" s="4" t="n">
        <x:v>2048000000000000</x:v>
      </x:c>
      <x:c r="AN40" s="4" t="n"/>
      <x:c r="AO40" s="4" t="n">
        <x:v>256000000000000</x:v>
      </x:c>
    </x:row>
    <x:row r="41" s="9" customFormat="1" ht="43.20000076293945" customHeight="1">
      <x:c r="A41" s="2" t="inlineStr">
        <x:is>
          <x:t xml:space="preserve">NVIDIA P40</x:t>
        </x:is>
      </x:c>
      <x:c r="B41" s="2" t="str">
        <x:f>IFERROR(VLOOKUP(TRIM($A41),_classification_map!$A$2:$C$227,2,FALSE),"")</x:f>
        <x:v>Pascal</x:v>
      </x:c>
      <x:c r="C41" s="2" t="str">
        <x:f>IFERROR(VLOOKUP(TRIM($A41),_classification_map!$A$2:$C$227,3,FALSE),"")</x:f>
        <x:v>Tesla</x:v>
      </x:c>
      <x:c r="D41" s="2" t="inlineStr">
        <x:is>
          <x:t xml:space="preserve">NVIDIA</x:t>
        </x:is>
      </x:c>
      <x:c r="E41" s="2" t="inlineStr">
        <x:is>
          <x:t xml:space="preserve">GPU</x:t>
        </x:is>
      </x:c>
      <x:c r="F41" s="2" t="n"/>
      <x:c r="G41" s="2" t="inlineStr">
        <x:is>
          <x:t xml:space="preserve">2016-09-13</x:t>
        </x:is>
      </x:c>
      <x:c r="H41" s="3" t="n">
        <x:v>5699</x:v>
      </x:c>
      <x:c r="I41" s="4" t="n"/>
      <x:c r="J41" s="4" t="n"/>
      <x:c r="K41" s="4" t="n"/>
      <x:c r="L41" s="4" t="n">
        <x:v>24000000000</x:v>
      </x:c>
      <x:c r="M41" s="4" t="n">
        <x:v>694300000000</x:v>
      </x:c>
      <x:c r="N41" s="4" t="n"/>
      <x:c r="O41" s="4" t="n"/>
      <x:c r="P41" s="5" t="n">
        <x:v>250</x:v>
      </x:c>
      <x:c r="Q41" s="4" t="n">
        <x:v>367400000000</x:v>
      </x:c>
      <x:c r="R41" s="4" t="n">
        <x:v>11760000000000</x:v>
      </x:c>
      <x:c r="S41" s="4" t="n"/>
      <x:c r="T41" s="4" t="n">
        <x:v>183700000000</x:v>
      </x:c>
      <x:c r="U41" s="4" t="n"/>
      <x:c r="V41" s="4" t="n"/>
      <x:c r="W41" s="4" t="n"/>
      <x:c r="X41" s="2" t="n"/>
      <x:c r="Y41" s="5" t="n">
        <x:v>471</x:v>
      </x:c>
      <x:c r="Z41" s="5" t="n">
        <x:v>1303</x:v>
      </x:c>
      <x:c r="AA41" s="5" t="n">
        <x:v>1531</x:v>
      </x:c>
      <x:c r="AB41" s="5" t="n">
        <x:v>1808</x:v>
      </x:c>
      <x:c r="AC41" s="5" t="n">
        <x:v>384</x:v>
      </x:c>
      <x:c r="AD41" s="5" t="n"/>
      <x:c r="AE41" s="5" t="n"/>
      <x:c r="AF41" s="5" t="n">
        <x:v>11800</x:v>
      </x:c>
      <x:c r="AG41" s="2" t="inlineStr">
        <x:is>
          <x:t xml:space="preserve">https://www.techpowerup.com/gpu-specs/tesla-p40.c2878</x:t>
        </x:is>
      </x:c>
      <x:c r="AH41" s="2" t="inlineStr">
        <x:is>
          <x:t xml:space="preserve">https://www.techpowerup.com/gpu-specs/tesla-p40.c2878</x:t>
        </x:is>
      </x:c>
      <x:c r="AI41" s="2" t="inlineStr">
        <x:is>
          <x:t xml:space="preserve">Tensorized Transformer (OBW),Tensorized Transformer (PTB),Tensorized Transformer (large PTB),Tensorized Transformer (W103),Tensorized Transformer (257M)</x:t>
        </x:is>
      </x:c>
      <x:c r="AJ41" s="2" t="inlineStr">
        <x:is>
          <x:t xml:space="preserve">2026-03-18 12:56:18+00:00</x:t>
        </x:is>
      </x:c>
      <x:c r="AK41" s="4" t="n">
        <x:v>11760000000000</x:v>
      </x:c>
      <x:c r="AL41" s="4" t="n">
        <x:v>47040000000</x:v>
      </x:c>
      <x:c r="AM41" s="4" t="n">
        <x:v>376320000000000</x:v>
      </x:c>
      <x:c r="AN41" s="4" t="n">
        <x:v>2063519915.7747</x:v>
      </x:c>
      <x:c r="AO41" s="4" t="n">
        <x:v>11760000000000</x:v>
      </x:c>
    </x:row>
    <x:row r="42" s="9" customFormat="1" ht="57.599998474121094" customHeight="1">
      <x:c r="A42" s="2" t="inlineStr">
        <x:is>
          <x:t xml:space="preserve">NVIDIA A40 PCIe</x:t>
        </x:is>
      </x:c>
      <x:c r="B42" s="2" t="str">
        <x:f>IFERROR(VLOOKUP(TRIM($A42),_classification_map!$A$2:$C$227,2,FALSE),"")</x:f>
        <x:v>Ampere</x:v>
      </x:c>
      <x:c r="C42" s="2" t="str">
        <x:f>IFERROR(VLOOKUP(TRIM($A42),_classification_map!$A$2:$C$227,3,FALSE),"")</x:f>
        <x:v>Datacenter A-series</x:v>
      </x:c>
      <x:c r="D42" s="2" t="inlineStr">
        <x:is>
          <x:t xml:space="preserve">NVIDIA</x:t>
        </x:is>
      </x:c>
      <x:c r="E42" s="2" t="inlineStr">
        <x:is>
          <x:t xml:space="preserve">GPU</x:t>
        </x:is>
      </x:c>
      <x:c r="F42" s="2" t="n"/>
      <x:c r="G42" s="2" t="inlineStr">
        <x:is>
          <x:t xml:space="preserve">2020-10-05</x:t>
        </x:is>
      </x:c>
      <x:c r="H42" s="3" t="n"/>
      <x:c r="I42" s="4" t="n">
        <x:v>149700000000000</x:v>
      </x:c>
      <x:c r="J42" s="4" t="n"/>
      <x:c r="K42" s="4" t="n"/>
      <x:c r="L42" s="4" t="n">
        <x:v>48000000000</x:v>
      </x:c>
      <x:c r="M42" s="4" t="n">
        <x:v>695800000000</x:v>
      </x:c>
      <x:c r="N42" s="4" t="n"/>
      <x:c r="O42" s="4" t="n"/>
      <x:c r="P42" s="5" t="n">
        <x:v>300</x:v>
      </x:c>
      <x:c r="Q42" s="4" t="n">
        <x:v>584600000000</x:v>
      </x:c>
      <x:c r="R42" s="4" t="n">
        <x:v>37420000000000</x:v>
      </x:c>
      <x:c r="S42" s="4" t="n">
        <x:v>74800000000000</x:v>
      </x:c>
      <x:c r="T42" s="4" t="n">
        <x:v>37420000000000</x:v>
      </x:c>
      <x:c r="U42" s="4" t="n"/>
      <x:c r="V42" s="4" t="n">
        <x:v>299300000000000</x:v>
      </x:c>
      <x:c r="W42" s="4" t="n"/>
      <x:c r="X42" s="2" t="inlineStr">
        <x:is>
          <x:t xml:space="preserve">Samsung</x:t>
        </x:is>
      </x:c>
      <x:c r="Y42" s="5" t="n">
        <x:v>628</x:v>
      </x:c>
      <x:c r="Z42" s="5" t="n">
        <x:v>1305</x:v>
      </x:c>
      <x:c r="AA42" s="5" t="n">
        <x:v>1740</x:v>
      </x:c>
      <x:c r="AB42" s="5" t="n">
        <x:v>1812</x:v>
      </x:c>
      <x:c r="AC42" s="5" t="n">
        <x:v>384</x:v>
      </x:c>
      <x:c r="AD42" s="5" t="n">
        <x:v>336</x:v>
      </x:c>
      <x:c r="AE42" s="5" t="n">
        <x:v>8</x:v>
      </x:c>
      <x:c r="AF42" s="5" t="n">
        <x:v>28300</x:v>
      </x:c>
      <x:c r="AG42" s="2" t="inlineStr">
        <x:is>
          <x:t xml:space="preserve">https://www.techpowerup.com/gpu-specs/a40-pcie.c3700; https://images.nvidia.com/content/Solutions/data-center/a40/nvidia-a40-datasheet.pdf</x:t>
        </x:is>
      </x:c>
      <x:c r="AH42" s="2" t="n"/>
      <x:c r="AI42" s="2" t="inlineStr">
        <x:is>
          <x:t xml:space="preserve">UdanDTI,RNADiffFold,DDPM,StyleTTS 2,Decaying Fast Weights Transformer (WT-103)</x:t>
        </x:is>
      </x:c>
      <x:c r="AJ42" s="2" t="inlineStr">
        <x:is>
          <x:t xml:space="preserve">2026-03-18 12:56:18+00:00</x:t>
        </x:is>
      </x:c>
      <x:c r="AK42" s="4" t="n">
        <x:v>299300000000000</x:v>
      </x:c>
      <x:c r="AL42" s="4" t="n">
        <x:v>997666666666.667</x:v>
      </x:c>
      <x:c r="AM42" s="4" t="n">
        <x:v>2395200000000000</x:v>
      </x:c>
      <x:c r="AN42" s="4" t="n"/>
      <x:c r="AO42" s="4" t="n">
        <x:v>299300000000000</x:v>
      </x:c>
    </x:row>
    <x:row r="43" s="9" customFormat="1" ht="28.799999237060547" customHeight="1">
      <x:c r="A43" s="2" t="inlineStr">
        <x:is>
          <x:t xml:space="preserve">NVIDIA P100 PCIe 16GB</x:t>
        </x:is>
      </x:c>
      <x:c r="B43" s="2" t="str">
        <x:f>IFERROR(VLOOKUP(TRIM($A43),_classification_map!$A$2:$C$227,2,FALSE),"")</x:f>
        <x:v>Pascal</x:v>
      </x:c>
      <x:c r="C43" s="2" t="str">
        <x:f>IFERROR(VLOOKUP(TRIM($A43),_classification_map!$A$2:$C$227,3,FALSE),"")</x:f>
        <x:v>Tesla</x:v>
      </x:c>
      <x:c r="D43" s="2" t="inlineStr">
        <x:is>
          <x:t xml:space="preserve">NVIDIA</x:t>
        </x:is>
      </x:c>
      <x:c r="E43" s="2" t="inlineStr">
        <x:is>
          <x:t xml:space="preserve">GPU</x:t>
        </x:is>
      </x:c>
      <x:c r="F43" s="2" t="n"/>
      <x:c r="G43" s="2" t="inlineStr">
        <x:is>
          <x:t xml:space="preserve">2016-06-20</x:t>
        </x:is>
      </x:c>
      <x:c r="H43" s="3" t="n"/>
      <x:c r="I43" s="4" t="n"/>
      <x:c r="J43" s="4" t="n"/>
      <x:c r="K43" s="4" t="n"/>
      <x:c r="L43" s="4" t="n">
        <x:v>16000000000</x:v>
      </x:c>
      <x:c r="M43" s="4" t="n">
        <x:v>732000000000</x:v>
      </x:c>
      <x:c r="N43" s="4" t="n"/>
      <x:c r="O43" s="4" t="n"/>
      <x:c r="P43" s="5" t="n">
        <x:v>250</x:v>
      </x:c>
      <x:c r="Q43" s="4" t="n">
        <x:v>4700000000000</x:v>
      </x:c>
      <x:c r="R43" s="4" t="n">
        <x:v>9560000000000</x:v>
      </x:c>
      <x:c r="S43" s="4" t="n"/>
      <x:c r="T43" s="4" t="n">
        <x:v>19100000000000</x:v>
      </x:c>
      <x:c r="U43" s="4" t="n"/>
      <x:c r="V43" s="4" t="n"/>
      <x:c r="W43" s="4" t="n"/>
      <x:c r="X43" s="2" t="inlineStr">
        <x:is>
          <x:t xml:space="preserve">TSMC</x:t>
        </x:is>
      </x:c>
      <x:c r="Y43" s="5" t="n">
        <x:v>610</x:v>
      </x:c>
      <x:c r="Z43" s="5" t="n">
        <x:v>1190</x:v>
      </x:c>
      <x:c r="AA43" s="5" t="n">
        <x:v>1329</x:v>
      </x:c>
      <x:c r="AB43" s="5" t="n">
        <x:v>715</x:v>
      </x:c>
      <x:c r="AC43" s="5" t="n">
        <x:v>4096</x:v>
      </x:c>
      <x:c r="AD43" s="5" t="n"/>
      <x:c r="AE43" s="5" t="n">
        <x:v>16</x:v>
      </x:c>
      <x:c r="AF43" s="5" t="n">
        <x:v>15300</x:v>
      </x:c>
      <x:c r="AG43" s="2" t="inlineStr">
        <x:is>
          <x:t xml:space="preserve">https://www.techpowerup.com/gpu-specs/tesla-p100-pcie-16-gb.c2888</x:t>
        </x:is>
      </x:c>
      <x:c r="AH43" s="2" t="n"/>
      <x:c r="AI43" s="2" t="inlineStr">
        <x:is>
          <x:t xml:space="preserve">T-DMCA</x:t>
        </x:is>
      </x:c>
      <x:c r="AJ43" s="2" t="inlineStr">
        <x:is>
          <x:t xml:space="preserve">2026-03-18 12:56:18+00:00</x:t>
        </x:is>
      </x:c>
      <x:c r="AK43" s="4" t="n">
        <x:v>19100000000000</x:v>
      </x:c>
      <x:c r="AL43" s="4" t="n">
        <x:v>76400000000</x:v>
      </x:c>
      <x:c r="AM43" s="4" t="n">
        <x:v>305920000000000</x:v>
      </x:c>
      <x:c r="AN43" s="4" t="n"/>
      <x:c r="AO43" s="4" t="n">
        <x:v>19100000000000</x:v>
      </x:c>
    </x:row>
    <x:row r="44" s="9" customFormat="1" ht="86.4000015258789" customHeight="1">
      <x:c r="A44" s="2" t="inlineStr">
        <x:is>
          <x:t xml:space="preserve">NVIDIA P100</x:t>
        </x:is>
      </x:c>
      <x:c r="B44" s="2" t="str">
        <x:f>IFERROR(VLOOKUP(TRIM($A44),_classification_map!$A$2:$C$227,2,FALSE),"")</x:f>
        <x:v>Pascal</x:v>
      </x:c>
      <x:c r="C44" s="2" t="str">
        <x:f>IFERROR(VLOOKUP(TRIM($A44),_classification_map!$A$2:$C$227,3,FALSE),"")</x:f>
        <x:v>Tesla</x:v>
      </x:c>
      <x:c r="D44" s="2" t="inlineStr">
        <x:is>
          <x:t xml:space="preserve">NVIDIA</x:t>
        </x:is>
      </x:c>
      <x:c r="E44" s="2" t="inlineStr">
        <x:is>
          <x:t xml:space="preserve">GPU</x:t>
        </x:is>
      </x:c>
      <x:c r="F44" s="2" t="n"/>
      <x:c r="G44" s="2" t="inlineStr">
        <x:is>
          <x:t xml:space="preserve">2016-04-05</x:t>
        </x:is>
      </x:c>
      <x:c r="H44" s="3" t="n">
        <x:v>5699</x:v>
      </x:c>
      <x:c r="I44" s="4" t="n"/>
      <x:c r="J44" s="4" t="n"/>
      <x:c r="K44" s="4" t="n"/>
      <x:c r="L44" s="4" t="n">
        <x:v>16000000000</x:v>
      </x:c>
      <x:c r="M44" s="4" t="n">
        <x:v>732000000000</x:v>
      </x:c>
      <x:c r="N44" s="4" t="n"/>
      <x:c r="O44" s="4" t="n"/>
      <x:c r="P44" s="5" t="n">
        <x:v>250</x:v>
      </x:c>
      <x:c r="Q44" s="4" t="n">
        <x:v>4700000000000</x:v>
      </x:c>
      <x:c r="R44" s="4" t="n">
        <x:v>9300000000000</x:v>
      </x:c>
      <x:c r="S44" s="4" t="n"/>
      <x:c r="T44" s="4" t="n">
        <x:v>18700000000000</x:v>
      </x:c>
      <x:c r="U44" s="4" t="n"/>
      <x:c r="V44" s="4" t="n"/>
      <x:c r="W44" s="4" t="n"/>
      <x:c r="X44" s="2" t="inlineStr">
        <x:is>
          <x:t xml:space="preserve">TSMC</x:t>
        </x:is>
      </x:c>
      <x:c r="Y44" s="5" t="n"/>
      <x:c r="Z44" s="5" t="n"/>
      <x:c r="AA44" s="5" t="n"/>
      <x:c r="AB44" s="5" t="n"/>
      <x:c r="AC44" s="5" t="n"/>
      <x:c r="AD44" s="5" t="n"/>
      <x:c r="AE44" s="5" t="n">
        <x:v>16</x:v>
      </x:c>
      <x:c r="AF44" s="5" t="n"/>
      <x:c r="AG44" s="2" t="inlineStr">
        <x:is>
          <x:t xml:space="preserve">https://images.nvidia.com/content/tesla/pdf/nvidia-tesla-p100-PCIe-datasheet.pdf</x:t>
        </x:is>
      </x:c>
      <x:c r="AH44" s="2" t="inlineStr">
        <x:is>
          <x:t xml:space="preserve">https://www.hardwarezone.com.sg/tech-news-nvidia-dgx-a100-supercomputer-super-performance-fight-covid-19#:~:text=The%20new%20DGX%20A100%20costs,has%20a%20height%20of%20444mm.</x:t>
        </x:is>
      </x:c>
      <x:c r="AI44" s="2" t="inlineStr">
        <x:is>
          <x:t xml:space="preserve">Transformer,IMPALA,ProteinGAN,RNMT+,LSTM (Hebbian, Cache, MbPA),QT-Opt,HiPPO-LegS,OpenAI Five,OpenAI Five Rerun,GPT-2+Active-SGD (WT2),mini-GPT-2+Active-AdamW,RoBERTa (PFAM),B2T connection (16L)</x:t>
        </x:is>
      </x:c>
      <x:c r="AJ44" s="2" t="inlineStr">
        <x:is>
          <x:t xml:space="preserve">2026-03-18 12:56:18+00:00</x:t>
        </x:is>
      </x:c>
      <x:c r="AK44" s="4" t="n">
        <x:v>18700000000000</x:v>
      </x:c>
      <x:c r="AL44" s="4" t="n">
        <x:v>74800000000</x:v>
      </x:c>
      <x:c r="AM44" s="4" t="n">
        <x:v>300800000000000</x:v>
      </x:c>
      <x:c r="AN44" s="4" t="n">
        <x:v>3281277417.09072</x:v>
      </x:c>
      <x:c r="AO44" s="4" t="n">
        <x:v>18700000000000</x:v>
      </x:c>
    </x:row>
    <x:row r="45" s="9" customFormat="1" ht="28.799999237060547" customHeight="1">
      <x:c r="A45" s="2" t="inlineStr">
        <x:is>
          <x:t xml:space="preserve">NVIDIA GeForce RTX 4070</x:t>
        </x:is>
      </x:c>
      <x:c r="B45" s="2" t="str">
        <x:f>IFERROR(VLOOKUP(TRIM($A45),_classification_map!$A$2:$C$227,2,FALSE),"")</x:f>
        <x:v>Ada Lovelace</x:v>
      </x:c>
      <x:c r="C45" s="2" t="str">
        <x:f>IFERROR(VLOOKUP(TRIM($A45),_classification_map!$A$2:$C$227,3,FALSE),"")</x:f>
        <x:v>GeForce RTX</x:v>
      </x:c>
      <x:c r="D45" s="2" t="inlineStr">
        <x:is>
          <x:t xml:space="preserve">NVIDIA</x:t>
        </x:is>
      </x:c>
      <x:c r="E45" s="2" t="inlineStr">
        <x:is>
          <x:t xml:space="preserve">GPU</x:t>
        </x:is>
      </x:c>
      <x:c r="F45" s="2" t="n"/>
      <x:c r="G45" s="2" t="inlineStr">
        <x:is>
          <x:t xml:space="preserve">2023-02-08</x:t>
        </x:is>
      </x:c>
      <x:c r="H45" s="3" t="n"/>
      <x:c r="I45" s="4" t="n">
        <x:v>116600000000000</x:v>
      </x:c>
      <x:c r="J45" s="4" t="n"/>
      <x:c r="K45" s="4" t="n"/>
      <x:c r="L45" s="4" t="n">
        <x:v>12000000000</x:v>
      </x:c>
      <x:c r="M45" s="4" t="n">
        <x:v>504200000000</x:v>
      </x:c>
      <x:c r="N45" s="4" t="n"/>
      <x:c r="O45" s="4" t="n"/>
      <x:c r="P45" s="5" t="n">
        <x:v>285</x:v>
      </x:c>
      <x:c r="Q45" s="4" t="n">
        <x:v>455400000000</x:v>
      </x:c>
      <x:c r="R45" s="4" t="n">
        <x:v>29150000000000</x:v>
      </x:c>
      <x:c r="S45" s="4" t="n"/>
      <x:c r="T45" s="4" t="n">
        <x:v>29150000000000</x:v>
      </x:c>
      <x:c r="U45" s="4" t="n"/>
      <x:c r="V45" s="4" t="n">
        <x:v>233000000000000</x:v>
      </x:c>
      <x:c r="W45" s="4" t="n"/>
      <x:c r="X45" s="2" t="inlineStr">
        <x:is>
          <x:t xml:space="preserve">TSMC</x:t>
        </x:is>
      </x:c>
      <x:c r="Y45" s="5" t="n">
        <x:v>295</x:v>
      </x:c>
      <x:c r="Z45" s="5" t="n">
        <x:v>1920</x:v>
      </x:c>
      <x:c r="AA45" s="5" t="n">
        <x:v>2475</x:v>
      </x:c>
      <x:c r="AB45" s="5" t="n">
        <x:v>1313</x:v>
      </x:c>
      <x:c r="AC45" s="5" t="n">
        <x:v>192</x:v>
      </x:c>
      <x:c r="AD45" s="5" t="n"/>
      <x:c r="AE45" s="5" t="n"/>
      <x:c r="AF45" s="5" t="n">
        <x:v>35800</x:v>
      </x:c>
      <x:c r="AG45" s="2" t="inlineStr">
        <x:is>
          <x:t xml:space="preserve">https://www.techpowerup.com/gpu-specs/geforce-rtx-4070.c3924</x:t>
        </x:is>
      </x:c>
      <x:c r="AH45" s="2" t="n"/>
      <x:c r="AI45" s="2" t="n"/>
      <x:c r="AJ45" s="2" t="inlineStr">
        <x:is>
          <x:t xml:space="preserve">2025-07-21 09:20:35+00:00</x:t>
        </x:is>
      </x:c>
      <x:c r="AK45" s="4" t="n">
        <x:v>233000000000000</x:v>
      </x:c>
      <x:c r="AL45" s="4" t="n">
        <x:v>817543859649.123</x:v>
      </x:c>
      <x:c r="AM45" s="4" t="n">
        <x:v>1864000000000000</x:v>
      </x:c>
      <x:c r="AN45" s="4" t="n"/>
      <x:c r="AO45" s="4" t="n">
        <x:v>233000000000000</x:v>
      </x:c>
    </x:row>
    <x:row r="46" s="9" customFormat="1" ht="28.799999237060547" customHeight="1">
      <x:c r="A46" s="2" t="inlineStr">
        <x:is>
          <x:t xml:space="preserve">NVIDIA Tesla P100 PCIe 16GB</x:t>
        </x:is>
      </x:c>
      <x:c r="B46" s="2" t="str">
        <x:f>IFERROR(VLOOKUP(TRIM($A46),_classification_map!$A$2:$C$227,2,FALSE),"")</x:f>
        <x:v>Pascal</x:v>
      </x:c>
      <x:c r="C46" s="2" t="str">
        <x:f>IFERROR(VLOOKUP(TRIM($A46),_classification_map!$A$2:$C$227,3,FALSE),"")</x:f>
        <x:v>Tesla</x:v>
      </x:c>
      <x:c r="D46" s="2" t="inlineStr">
        <x:is>
          <x:t xml:space="preserve">NVIDIA</x:t>
        </x:is>
      </x:c>
      <x:c r="E46" s="2" t="inlineStr">
        <x:is>
          <x:t xml:space="preserve">GPU</x:t>
        </x:is>
      </x:c>
      <x:c r="F46" s="2" t="n"/>
      <x:c r="G46" s="2" t="inlineStr">
        <x:is>
          <x:t xml:space="preserve">2016-06-20</x:t>
        </x:is>
      </x:c>
      <x:c r="H46" s="3" t="n"/>
      <x:c r="I46" s="4" t="n"/>
      <x:c r="J46" s="4" t="n"/>
      <x:c r="K46" s="4" t="n"/>
      <x:c r="L46" s="4" t="n"/>
      <x:c r="M46" s="4" t="n">
        <x:v>732200000000</x:v>
      </x:c>
      <x:c r="N46" s="4" t="n"/>
      <x:c r="O46" s="4" t="n"/>
      <x:c r="P46" s="5" t="n">
        <x:v>250</x:v>
      </x:c>
      <x:c r="Q46" s="4" t="n">
        <x:v>4763000000000</x:v>
      </x:c>
      <x:c r="R46" s="4" t="n">
        <x:v>9526000000000</x:v>
      </x:c>
      <x:c r="S46" s="4" t="n"/>
      <x:c r="T46" s="4" t="n">
        <x:v>19050000000000</x:v>
      </x:c>
      <x:c r="U46" s="4" t="n"/>
      <x:c r="V46" s="4" t="n"/>
      <x:c r="W46" s="4" t="n"/>
      <x:c r="X46" s="2" t="inlineStr">
        <x:is>
          <x:t xml:space="preserve">TSMC</x:t>
        </x:is>
      </x:c>
      <x:c r="Y46" s="5" t="n">
        <x:v>610</x:v>
      </x:c>
      <x:c r="Z46" s="5" t="n">
        <x:v>1190</x:v>
      </x:c>
      <x:c r="AA46" s="5" t="n"/>
      <x:c r="AB46" s="5" t="n"/>
      <x:c r="AC46" s="5" t="n"/>
      <x:c r="AD46" s="5" t="n"/>
      <x:c r="AE46" s="5" t="n">
        <x:v>16</x:v>
      </x:c>
      <x:c r="AF46" s="5" t="n">
        <x:v>15300</x:v>
      </x:c>
      <x:c r="AG46" s="2" t="inlineStr">
        <x:is>
          <x:t xml:space="preserve">https://www.techpowerup.com/gpu-specs/tesla-p100-pcie-16-gb.c2888</x:t>
        </x:is>
      </x:c>
      <x:c r="AH46" s="2" t="n"/>
      <x:c r="AI46" s="2" t="inlineStr">
        <x:is>
          <x:t xml:space="preserve">RNN + char2-MS-vec,RNN + char3-MS-vec,RNN + char4-MS-vec</x:t>
        </x:is>
      </x:c>
      <x:c r="AJ46" s="2" t="inlineStr">
        <x:is>
          <x:t xml:space="preserve">2026-03-18 12:56:18+00:00</x:t>
        </x:is>
      </x:c>
      <x:c r="AK46" s="4" t="n">
        <x:v>19050000000000</x:v>
      </x:c>
      <x:c r="AL46" s="4" t="n">
        <x:v>76200000000</x:v>
      </x:c>
      <x:c r="AM46" s="4" t="n">
        <x:v>304832000000000</x:v>
      </x:c>
      <x:c r="AN46" s="4" t="n"/>
      <x:c r="AO46" s="4" t="n">
        <x:v>19050000000000</x:v>
      </x:c>
    </x:row>
    <x:row r="47" s="9" customFormat="1" ht="43.20000076293945" customHeight="1">
      <x:c r="A47" s="2" t="inlineStr">
        <x:is>
          <x:t xml:space="preserve">MTT S4000</x:t>
        </x:is>
      </x:c>
      <x:c r="B47" s="2" t="str">
        <x:f>IFERROR(VLOOKUP(TRIM($A47),_classification_map!$A$2:$C$227,2,FALSE),"")</x:f>
        <x:v>S4000</x:v>
      </x:c>
      <x:c r="C47" s="2" t="str">
        <x:f>IFERROR(VLOOKUP(TRIM($A47),_classification_map!$A$2:$C$227,3,FALSE),"")</x:f>
        <x:v>MTT</x:v>
      </x:c>
      <x:c r="D47" s="2" t="inlineStr">
        <x:is>
          <x:t xml:space="preserve">Moore Threads (Tencent)</x:t>
        </x:is>
      </x:c>
      <x:c r="E47" s="2" t="inlineStr">
        <x:is>
          <x:t xml:space="preserve">GPU</x:t>
        </x:is>
      </x:c>
      <x:c r="F47" s="2" t="n"/>
      <x:c r="G47" s="2" t="inlineStr">
        <x:is>
          <x:t xml:space="preserve">2023-12-19</x:t>
        </x:is>
      </x:c>
      <x:c r="H47" s="3" t="n"/>
      <x:c r="I47" s="4" t="n">
        <x:v>100000000000000</x:v>
      </x:c>
      <x:c r="J47" s="4" t="n"/>
      <x:c r="K47" s="4" t="n"/>
      <x:c r="L47" s="4" t="n">
        <x:v>48000000000</x:v>
      </x:c>
      <x:c r="M47" s="4" t="n">
        <x:v>768000000000</x:v>
      </x:c>
      <x:c r="N47" s="4" t="n"/>
      <x:c r="O47" s="4" t="n"/>
      <x:c r="P47" s="5" t="n">
        <x:v>450</x:v>
      </x:c>
      <x:c r="Q47" s="4" t="n"/>
      <x:c r="R47" s="4" t="n">
        <x:v>25000000000000</x:v>
      </x:c>
      <x:c r="S47" s="4" t="n">
        <x:v>50000000000000</x:v>
      </x:c>
      <x:c r="T47" s="4" t="n">
        <x:v>49150000000000</x:v>
      </x:c>
      <x:c r="U47" s="4" t="n"/>
      <x:c r="V47" s="4" t="n">
        <x:v>200000000000000</x:v>
      </x:c>
      <x:c r="W47" s="4" t="n"/>
      <x:c r="X47" s="2" t="n"/>
      <x:c r="Y47" s="5" t="n"/>
      <x:c r="Z47" s="5" t="n"/>
      <x:c r="AA47" s="5" t="n"/>
      <x:c r="AB47" s="5" t="n"/>
      <x:c r="AC47" s="5" t="n"/>
      <x:c r="AD47" s="5" t="n">
        <x:v>128</x:v>
      </x:c>
      <x:c r="AE47" s="5" t="n">
        <x:v>12</x:v>
      </x:c>
      <x:c r="AF47" s="5" t="n"/>
      <x:c r="AG47" s="2" t="inlineStr">
        <x:is>
          <x:t xml:space="preserve">https://en.mthreads.com/product/S4000
https://www.techpowerup.com/gpu-specs/mtt-s4000.c4261</x:t>
        </x:is>
      </x:c>
      <x:c r="AH47" s="2" t="n"/>
      <x:c r="AI47" s="2" t="inlineStr">
        <x:is>
          <x:t xml:space="preserve">MooER</x:t>
        </x:is>
      </x:c>
      <x:c r="AJ47" s="2" t="inlineStr">
        <x:is>
          <x:t xml:space="preserve">2026-03-18 12:56:18+00:00</x:t>
        </x:is>
      </x:c>
      <x:c r="AK47" s="4" t="n">
        <x:v>200000000000000</x:v>
      </x:c>
      <x:c r="AL47" s="4" t="n">
        <x:v>444444444444.445</x:v>
      </x:c>
      <x:c r="AM47" s="4" t="n">
        <x:v>1600000000000000</x:v>
      </x:c>
      <x:c r="AN47" s="4" t="n"/>
      <x:c r="AO47" s="4" t="n">
        <x:v>200000000000000</x:v>
      </x:c>
    </x:row>
    <x:row r="48" s="9" customFormat="1" ht="57.599998474121094" customHeight="1">
      <x:c r="A48" s="2" t="inlineStr">
        <x:is>
          <x:t xml:space="preserve">Meta MTIA v1 (MTIA 100)</x:t>
        </x:is>
      </x:c>
      <x:c r="B48" s="2" t="str">
        <x:f>IFERROR(VLOOKUP(TRIM($A48),_classification_map!$A$2:$C$227,2,FALSE),"")</x:f>
        <x:v>MTIA v1</x:v>
      </x:c>
      <x:c r="C48" s="2" t="str">
        <x:f>IFERROR(VLOOKUP(TRIM($A48),_classification_map!$A$2:$C$227,3,FALSE),"")</x:f>
        <x:v>MTIA</x:v>
      </x:c>
      <x:c r="D48" s="2" t="inlineStr">
        <x:is>
          <x:t xml:space="preserve">Meta</x:t>
        </x:is>
      </x:c>
      <x:c r="E48" s="2" t="inlineStr">
        <x:is>
          <x:t xml:space="preserve">Other</x:t>
        </x:is>
      </x:c>
      <x:c r="F48" s="2" t="inlineStr">
        <x:is>
          <x:t xml:space="preserve">retroactively renamed to MTIA 100: https://ai.meta.com/blog/meta-mtia-scale-ai-chips-for-billions/ </x:t>
        </x:is>
      </x:c>
      <x:c r="G48" s="2" t="inlineStr">
        <x:is>
          <x:t xml:space="preserve">2023-05-18</x:t>
        </x:is>
      </x:c>
      <x:c r="H48" s="3" t="n"/>
      <x:c r="I48" s="4" t="n">
        <x:v>51200000000000</x:v>
      </x:c>
      <x:c r="J48" s="4" t="n"/>
      <x:c r="K48" s="4" t="n"/>
      <x:c r="L48" s="4" t="n">
        <x:v>128000000</x:v>
      </x:c>
      <x:c r="M48" s="4" t="n">
        <x:v>800000000000</x:v>
      </x:c>
      <x:c r="N48" s="4" t="n"/>
      <x:c r="O48" s="4" t="n"/>
      <x:c r="P48" s="5" t="n">
        <x:v>25</x:v>
      </x:c>
      <x:c r="Q48" s="4" t="n"/>
      <x:c r="R48" s="4" t="n">
        <x:v>1600000000000</x:v>
      </x:c>
      <x:c r="S48" s="4" t="n"/>
      <x:c r="T48" s="4" t="n">
        <x:v>51000000000000</x:v>
      </x:c>
      <x:c r="U48" s="4" t="n"/>
      <x:c r="V48" s="4" t="n">
        <x:v>102400000000000</x:v>
      </x:c>
      <x:c r="W48" s="4" t="n"/>
      <x:c r="X48" s="2" t="inlineStr">
        <x:is>
          <x:t xml:space="preserve">TSMC</x:t>
        </x:is>
      </x:c>
      <x:c r="Y48" s="5" t="n">
        <x:v>373</x:v>
      </x:c>
      <x:c r="Z48" s="5" t="n">
        <x:v>800</x:v>
      </x:c>
      <x:c r="AA48" s="5" t="n"/>
      <x:c r="AB48" s="5" t="n"/>
      <x:c r="AC48" s="5" t="n"/>
      <x:c r="AD48" s="5" t="n"/>
      <x:c r="AE48" s="5" t="n">
        <x:v>7</x:v>
      </x:c>
      <x:c r="AF48" s="5" t="n"/>
      <x:c r="AG48" s="2" t="inlineStr">
        <x:is>
          <x:t xml:space="preserve">https://ai.meta.com/blog/meta-training-inference-accelerator-AI-MTIA/
https://ai.meta.com/blog/next-generation-meta-training-inference-accelerator-AI-MTIA/</x:t>
        </x:is>
      </x:c>
      <x:c r="AH48" s="2" t="n"/>
      <x:c r="AI48" s="2" t="n"/>
      <x:c r="AJ48" s="2" t="inlineStr">
        <x:is>
          <x:t xml:space="preserve">2026-03-11 17:50:15+00:00</x:t>
        </x:is>
      </x:c>
      <x:c r="AK48" s="4" t="n">
        <x:v>102400000000000</x:v>
      </x:c>
      <x:c r="AL48" s="4" t="n">
        <x:v>4096000000000</x:v>
      </x:c>
      <x:c r="AM48" s="4" t="n">
        <x:v>819200000000000</x:v>
      </x:c>
      <x:c r="AN48" s="4" t="n"/>
      <x:c r="AO48" s="4" t="n">
        <x:v>102400000000000</x:v>
      </x:c>
    </x:row>
    <x:row r="49" s="9" customFormat="1" ht="72" customHeight="1">
      <x:c r="A49" s="2" t="inlineStr">
        <x:is>
          <x:t xml:space="preserve">Huawei Ascend 910B4</x:t>
        </x:is>
      </x:c>
      <x:c r="B49" s="2" t="str">
        <x:f>IFERROR(VLOOKUP(TRIM($A49),_classification_map!$A$2:$C$227,2,FALSE),"")</x:f>
        <x:v>Ascend 910B</x:v>
      </x:c>
      <x:c r="C49" s="2" t="str">
        <x:f>IFERROR(VLOOKUP(TRIM($A49),_classification_map!$A$2:$C$227,3,FALSE),"")</x:f>
        <x:v>Ascend</x:v>
      </x:c>
      <x:c r="D49" s="2" t="inlineStr">
        <x:is>
          <x:t xml:space="preserve">Huawei</x:t>
        </x:is>
      </x:c>
      <x:c r="E49" s="2" t="inlineStr">
        <x:is>
          <x:t xml:space="preserve">GPU</x:t>
        </x:is>
      </x:c>
      <x:c r="F49" s="2" t="n"/>
      <x:c r="G49" s="2" t="n"/>
      <x:c r="H49" s="3" t="n"/>
      <x:c r="I49" s="4" t="n"/>
      <x:c r="J49" s="4" t="n"/>
      <x:c r="K49" s="4" t="n"/>
      <x:c r="L49" s="4" t="n">
        <x:v>32000000000</x:v>
      </x:c>
      <x:c r="M49" s="4" t="n">
        <x:v>800000000000</x:v>
      </x:c>
      <x:c r="N49" s="4" t="n"/>
      <x:c r="O49" s="4" t="n"/>
      <x:c r="P49" s="5" t="n"/>
      <x:c r="Q49" s="4" t="n"/>
      <x:c r="R49" s="4" t="n">
        <x:v>72000000000000</x:v>
      </x:c>
      <x:c r="S49" s="4" t="n"/>
      <x:c r="T49" s="4" t="n">
        <x:v>280000000000000</x:v>
      </x:c>
      <x:c r="U49" s="4" t="n"/>
      <x:c r="V49" s="4" t="n"/>
      <x:c r="W49" s="4" t="n"/>
      <x:c r="X49" s="2" t="inlineStr">
        <x:is>
          <x:t xml:space="preserve">SMIC</x:t>
        </x:is>
      </x:c>
      <x:c r="Y49" s="5" t="n"/>
      <x:c r="Z49" s="5" t="n"/>
      <x:c r="AA49" s="5" t="n"/>
      <x:c r="AB49" s="5" t="n">
        <x:v>1650</x:v>
      </x:c>
      <x:c r="AC49" s="5" t="n"/>
      <x:c r="AD49" s="5" t="n"/>
      <x:c r="AE49" s="5" t="n">
        <x:v>7</x:v>
      </x:c>
      <x:c r="AF49" s="5" t="n"/>
      <x:c r="AG49" s="2" t="inlineStr">
        <x:is>
          <x:t xml:space="preserve">https://cset.georgetown.edu/publication/pushing-the-limits-huaweis-ai-chip-tests-u-s-export-controls/#:~:text=Ascend%20910%20models%20range%20from,specially%20designed%20for%20AI%20operations
https://perma.cc/9B7N-X5XT</x:t>
        </x:is>
      </x:c>
      <x:c r="AH49" s="2" t="n"/>
      <x:c r="AI49" s="2" t="n"/>
      <x:c r="AJ49" s="2" t="inlineStr">
        <x:is>
          <x:t xml:space="preserve">2025-07-21 10:17:00+00:00</x:t>
        </x:is>
      </x:c>
      <x:c r="AK49" s="4" t="n">
        <x:v>280000000000000</x:v>
      </x:c>
      <x:c r="AL49" s="4" t="n"/>
      <x:c r="AM49" s="4" t="n">
        <x:v>4480000000000000</x:v>
      </x:c>
      <x:c r="AN49" s="4" t="n"/>
      <x:c r="AO49" s="4" t="n">
        <x:v>280000000000000</x:v>
      </x:c>
    </x:row>
    <x:row r="50" s="9" customFormat="1" ht="115.19999694824219" customHeight="1">
      <x:c r="A50" s="2" t="inlineStr">
        <x:is>
          <x:t xml:space="preserve">Google TPU v5e</x:t>
        </x:is>
      </x:c>
      <x:c r="B50" s="2" t="str">
        <x:f>IFERROR(VLOOKUP(TRIM($A50),_classification_map!$A$2:$C$227,2,FALSE),"")</x:f>
        <x:v>TPU v5e</x:v>
      </x:c>
      <x:c r="C50" s="2" t="str">
        <x:f>IFERROR(VLOOKUP(TRIM($A50),_classification_map!$A$2:$C$227,3,FALSE),"")</x:f>
        <x:v>TPU</x:v>
      </x:c>
      <x:c r="D50" s="2" t="inlineStr">
        <x:is>
          <x:t xml:space="preserve">Google</x:t>
        </x:is>
      </x:c>
      <x:c r="E50" s="2" t="inlineStr">
        <x:is>
          <x:t xml:space="preserve">TPU</x:t>
        </x:is>
      </x:c>
      <x:c r="F50" s="2" t="inlineStr">
        <x:is>
          <x:t xml:space="preserve">No official TDP, SemiAnalysis estimates 300W TDP https://newsletter.semianalysis.com/p/tpuv7-google-takes-a-swing-at-the. NextPlatform estimates 225W TDP https://www.nextplatform.com/2025/04/09/with-ironwood-tpu-google-pushes-the-ai-accelerator-to-the-floor/</x:t>
        </x:is>
      </x:c>
      <x:c r="G50" s="2" t="inlineStr">
        <x:is>
          <x:t xml:space="preserve">2023-08-29</x:t>
        </x:is>
      </x:c>
      <x:c r="H50" s="3" t="n"/>
      <x:c r="I50" s="4" t="n">
        <x:v>197000000000000</x:v>
      </x:c>
      <x:c r="J50" s="4" t="n"/>
      <x:c r="K50" s="4" t="n"/>
      <x:c r="L50" s="4" t="n">
        <x:v>16000000000</x:v>
      </x:c>
      <x:c r="M50" s="4" t="n">
        <x:v>819000000000</x:v>
      </x:c>
      <x:c r="N50" s="4" t="n"/>
      <x:c r="O50" s="4" t="n"/>
      <x:c r="P50" s="5" t="n">
        <x:v>225</x:v>
      </x:c>
      <x:c r="Q50" s="4" t="n"/>
      <x:c r="R50" s="4" t="n"/>
      <x:c r="S50" s="4" t="n"/>
      <x:c r="T50" s="4" t="n"/>
      <x:c r="U50" s="4" t="n"/>
      <x:c r="V50" s="4" t="n">
        <x:v>393000000000000</x:v>
      </x:c>
      <x:c r="W50" s="4" t="n"/>
      <x:c r="X50" s="2" t="n"/>
      <x:c r="Y50" s="5" t="n">
        <x:v>325</x:v>
      </x:c>
      <x:c r="Z50" s="5" t="n"/>
      <x:c r="AA50" s="5" t="n"/>
      <x:c r="AB50" s="5" t="n"/>
      <x:c r="AC50" s="5" t="n"/>
      <x:c r="AD50" s="5" t="n">
        <x:v>1</x:v>
      </x:c>
      <x:c r="AE50" s="5" t="n"/>
      <x:c r="AF50" s="5" t="n"/>
      <x:c r="AG50" s="2" t="inlineStr">
        <x:is>
          <x:t xml:space="preserve">https://cloud.google.com/tpu/docs/v5e</x:t>
        </x:is>
      </x:c>
      <x:c r="AH50" s="2" t="n"/>
      <x:c r="AI50" s="2" t="inlineStr">
        <x:is>
          <x:t xml:space="preserve">Gemma 7B,Gemini Nano-2,Gemini Nano-1,Gemma 2 2B,Gemma 1.1 7B Instruct,Imagen 3,PaliGemma,GameNGen,ALOHA Unleashed,Universal-1,DataGemma,Gemma 2B,Flexi-JEST++,JEST++,Gemma 3 1B,Gemma 3 4B,Gemini Robotics,GenCast,JEST-L++,PaliGemma 2 3B Mix 448,PaliGemma 2 3B Mix 224,Gemini Robotics-ER,Marin 8B,Aeneas,EmbeddingGemma,SigLIP 2,Gemini Robotics-ER 1.5,Gemini Robotics 1.5 </x:t>
        </x:is>
      </x:c>
      <x:c r="AJ50" s="2" t="inlineStr">
        <x:is>
          <x:t xml:space="preserve">2026-03-18 15:34:46+00:00</x:t>
        </x:is>
      </x:c>
      <x:c r="AK50" s="4" t="n">
        <x:v>393000000000000</x:v>
      </x:c>
      <x:c r="AL50" s="4" t="n">
        <x:v>1746666666666.67</x:v>
      </x:c>
      <x:c r="AM50" s="4" t="n">
        <x:v>3152000000000000</x:v>
      </x:c>
      <x:c r="AN50" s="4" t="n"/>
      <x:c r="AO50" s="4" t="n">
        <x:v>393000000000000</x:v>
      </x:c>
    </x:row>
    <x:row r="51">
      <x:c r="A51" s="2" t="inlineStr">
        <x:is>
          <x:t xml:space="preserve">AWS Inferentia2</x:t>
        </x:is>
      </x:c>
      <x:c r="B51" s="2" t="str">
        <x:f>IFERROR(VLOOKUP(TRIM($A51),_classification_map!$A$2:$C$227,2,FALSE),"")</x:f>
        <x:v>Inferentia2</x:v>
      </x:c>
      <x:c r="C51" s="2" t="str">
        <x:f>IFERROR(VLOOKUP(TRIM($A51),_classification_map!$A$2:$C$227,3,FALSE),"")</x:f>
        <x:v>Inferentia</x:v>
      </x:c>
      <x:c r="D51" s="2" t="inlineStr">
        <x:is>
          <x:t xml:space="preserve">Amazon AWS</x:t>
        </x:is>
      </x:c>
      <x:c r="E51" s="2" t="n"/>
      <x:c r="F51" s="2" t="n"/>
      <x:c r="G51" s="2" t="inlineStr">
        <x:is>
          <x:t xml:space="preserve">2023-04-13</x:t>
        </x:is>
      </x:c>
      <x:c r="H51" s="3" t="n"/>
      <x:c r="I51" s="4" t="n">
        <x:v>190000000000000</x:v>
      </x:c>
      <x:c r="J51" s="4" t="n">
        <x:v>190000000000000</x:v>
      </x:c>
      <x:c r="K51" s="4" t="n"/>
      <x:c r="L51" s="4" t="n">
        <x:v>32000000000</x:v>
      </x:c>
      <x:c r="M51" s="4" t="n">
        <x:v>820000000000</x:v>
      </x:c>
      <x:c r="N51" s="4" t="n">
        <x:v>1000000000000</x:v>
      </x:c>
      <x:c r="O51" s="4" t="n"/>
      <x:c r="P51" s="5" t="n"/>
      <x:c r="Q51" s="4" t="n"/>
      <x:c r="R51" s="4" t="n">
        <x:v>47500000000000</x:v>
      </x:c>
      <x:c r="S51" s="4" t="n">
        <x:v>190000000000000</x:v>
      </x:c>
      <x:c r="T51" s="4" t="n">
        <x:v>190000000000000</x:v>
      </x:c>
      <x:c r="U51" s="4" t="n"/>
      <x:c r="V51" s="4" t="n">
        <x:v>380000000000000</x:v>
      </x:c>
      <x:c r="W51" s="4" t="n"/>
      <x:c r="X51" s="2" t="n"/>
      <x:c r="Y51" s="5" t="n"/>
      <x:c r="Z51" s="5" t="n"/>
      <x:c r="AA51" s="5" t="n"/>
      <x:c r="AB51" s="5" t="n"/>
      <x:c r="AC51" s="5" t="n"/>
      <x:c r="AD51" s="5" t="n"/>
      <x:c r="AE51" s="5" t="n"/>
      <x:c r="AF51" s="5" t="n"/>
      <x:c r="AG51" s="2" t="inlineStr">
        <x:is>
          <x:t xml:space="preserve">https://perma.cc/YED7-PTH6</x:t>
        </x:is>
      </x:c>
      <x:c r="AH51" s="2" t="n"/>
      <x:c r="AI51" s="2" t="n"/>
      <x:c r="AJ51" s="2" t="inlineStr">
        <x:is>
          <x:t xml:space="preserve">2025-11-13 14:48:27+00:00</x:t>
        </x:is>
      </x:c>
      <x:c r="AK51" s="4" t="n">
        <x:v>380000000000000</x:v>
      </x:c>
      <x:c r="AL51" s="4" t="n"/>
      <x:c r="AM51" s="4" t="n">
        <x:v>3610000000000000</x:v>
      </x:c>
      <x:c r="AN51" s="4" t="n"/>
      <x:c r="AO51" s="4" t="n">
        <x:v>380000000000000</x:v>
      </x:c>
    </x:row>
    <x:row r="52" s="9" customFormat="1" ht="172.8000030517578" customHeight="1">
      <x:c r="A52" s="2" t="inlineStr">
        <x:is>
          <x:t xml:space="preserve">Amazon Trainium1</x:t>
        </x:is>
      </x:c>
      <x:c r="B52" s="2" t="str">
        <x:f>IFERROR(VLOOKUP(TRIM($A52),_classification_map!$A$2:$C$227,2,FALSE),"")</x:f>
        <x:v>Trainium1</x:v>
      </x:c>
      <x:c r="C52" s="2" t="str">
        <x:f>IFERROR(VLOOKUP(TRIM($A52),_classification_map!$A$2:$C$227,3,FALSE),"")</x:f>
        <x:v>Trainium</x:v>
      </x:c>
      <x:c r="D52" s="2" t="inlineStr">
        <x:is>
          <x:t xml:space="preserve">Amazon AWS</x:t>
        </x:is>
      </x:c>
      <x:c r="E52" s="2" t="inlineStr">
        <x:is>
          <x:t xml:space="preserve">GPU</x:t>
        </x:is>
      </x:c>
      <x:c r="F52" s="2" t="n"/>
      <x:c r="G52" s="2" t="inlineStr">
        <x:is>
          <x:t xml:space="preserve">2022-10-15</x:t>
        </x:is>
      </x:c>
      <x:c r="H52" s="3" t="n"/>
      <x:c r="I52" s="4" t="n">
        <x:v>190000000000000</x:v>
      </x:c>
      <x:c r="J52" s="4" t="n"/>
      <x:c r="K52" s="4" t="n"/>
      <x:c r="L52" s="4" t="n">
        <x:v>32000000000</x:v>
      </x:c>
      <x:c r="M52" s="4" t="n">
        <x:v>820000000000</x:v>
      </x:c>
      <x:c r="N52" s="4" t="n"/>
      <x:c r="O52" s="4" t="n"/>
      <x:c r="P52" s="5" t="n"/>
      <x:c r="Q52" s="4" t="n"/>
      <x:c r="R52" s="4" t="n">
        <x:v>47500000000000</x:v>
      </x:c>
      <x:c r="S52" s="4" t="n">
        <x:v>190000000000000</x:v>
      </x:c>
      <x:c r="T52" s="4" t="n">
        <x:v>190000000000000</x:v>
      </x:c>
      <x:c r="U52" s="4" t="n"/>
      <x:c r="V52" s="4" t="n">
        <x:v>420000000000000</x:v>
      </x:c>
      <x:c r="W52" s="4" t="n"/>
      <x:c r="X52" s="2" t="n"/>
      <x:c r="Y52" s="5" t="n"/>
      <x:c r="Z52" s="5" t="n"/>
      <x:c r="AA52" s="5" t="n"/>
      <x:c r="AB52" s="5" t="n"/>
      <x:c r="AC52" s="5" t="n"/>
      <x:c r="AD52" s="5" t="n"/>
      <x:c r="AE52" s="5" t="n"/>
      <x:c r="AF52" s="5" t="n"/>
      <x:c r="AG52" s="2" t="inlineStr">
        <x:is>
          <x:t xml:space="preserve">https://web.archive.org/web/20230518023215/https://awsdocs-neuron.readthedocs-hosted.com/en/v2.9.1/general/arch/neuron-hardware/trainium.html
Note that memory specs are quoted in GiB (1024^3 = ~1.07 billion bytes) not GB.
32 GiB (32 * 1024^3 bytes) of memory ~= 34.36 GB (gigabytes)
820 GiB/sec of memory bandwidth ~= 880.47 GB/sec </x:t>
        </x:is>
      </x:c>
      <x:c r="AH52" s="2" t="n"/>
      <x:c r="AI52" s="2" t="inlineStr">
        <x:is>
          <x:t xml:space="preserve">nekomata-14b,Amazon Nova Canvas,Amazon Nova Reel,Amazon Nova Micro,Amazon Nova Lite,Amazon Nova Pro</x:t>
        </x:is>
      </x:c>
      <x:c r="AJ52" s="2" t="inlineStr">
        <x:is>
          <x:t xml:space="preserve">2026-03-18 12:56:18+00:00</x:t>
        </x:is>
      </x:c>
      <x:c r="AK52" s="4" t="n">
        <x:v>420000000000000</x:v>
      </x:c>
      <x:c r="AL52" s="4" t="n"/>
      <x:c r="AM52" s="4" t="n">
        <x:v>3610000000000000</x:v>
      </x:c>
      <x:c r="AN52" s="4" t="n"/>
      <x:c r="AO52" s="4" t="n">
        <x:v>420000000000000</x:v>
      </x:c>
    </x:row>
    <x:row r="53" s="9" customFormat="1" ht="57.599998474121094" customHeight="1">
      <x:c r="A53" s="2" t="inlineStr">
        <x:is>
          <x:t xml:space="preserve">NVIDIA L20 PCle</x:t>
        </x:is>
      </x:c>
      <x:c r="B53" s="2" t="str">
        <x:f>IFERROR(VLOOKUP(TRIM($A53),_classification_map!$A$2:$C$227,2,FALSE),"")</x:f>
        <x:v>Ada Lovelace</x:v>
      </x:c>
      <x:c r="C53" s="2" t="str">
        <x:f>IFERROR(VLOOKUP(TRIM($A53),_classification_map!$A$2:$C$227,3,FALSE),"")</x:f>
        <x:v>Datacenter L-series</x:v>
      </x:c>
      <x:c r="D53" s="2" t="inlineStr">
        <x:is>
          <x:t xml:space="preserve">NVIDIA</x:t>
        </x:is>
      </x:c>
      <x:c r="E53" s="2" t="inlineStr">
        <x:is>
          <x:t xml:space="preserve">GPU</x:t>
        </x:is>
      </x:c>
      <x:c r="F53" s="2" t="n"/>
      <x:c r="G53" s="2" t="inlineStr">
        <x:is>
          <x:t xml:space="preserve">2023-09-16</x:t>
        </x:is>
      </x:c>
      <x:c r="H53" s="3" t="n">
        <x:v>4299</x:v>
      </x:c>
      <x:c r="I53" s="4" t="n">
        <x:v>119500000000000</x:v>
      </x:c>
      <x:c r="J53" s="4" t="n"/>
      <x:c r="K53" s="4" t="n"/>
      <x:c r="L53" s="4" t="n">
        <x:v>48000000000</x:v>
      </x:c>
      <x:c r="M53" s="4" t="n">
        <x:v>864000000000</x:v>
      </x:c>
      <x:c r="N53" s="4" t="n"/>
      <x:c r="O53" s="4" t="n"/>
      <x:c r="P53" s="5" t="n">
        <x:v>275</x:v>
      </x:c>
      <x:c r="Q53" s="4" t="n">
        <x:v>927400000000</x:v>
      </x:c>
      <x:c r="R53" s="4" t="n">
        <x:v>59350000000000</x:v>
      </x:c>
      <x:c r="S53" s="4" t="n">
        <x:v>59800000000000</x:v>
      </x:c>
      <x:c r="T53" s="4" t="n">
        <x:v>59350000000000</x:v>
      </x:c>
      <x:c r="U53" s="4" t="n"/>
      <x:c r="V53" s="4" t="n">
        <x:v>239000000000000</x:v>
      </x:c>
      <x:c r="W53" s="4" t="n"/>
      <x:c r="X53" s="2" t="inlineStr">
        <x:is>
          <x:t xml:space="preserve">TSMC</x:t>
        </x:is>
      </x:c>
      <x:c r="Y53" s="5" t="n">
        <x:v>609</x:v>
      </x:c>
      <x:c r="Z53" s="5" t="n">
        <x:v>1440</x:v>
      </x:c>
      <x:c r="AA53" s="5" t="n">
        <x:v>2520</x:v>
      </x:c>
      <x:c r="AB53" s="5" t="n">
        <x:v>2250</x:v>
      </x:c>
      <x:c r="AC53" s="5" t="n">
        <x:v>384</x:v>
      </x:c>
      <x:c r="AD53" s="5" t="n">
        <x:v>11776</x:v>
      </x:c>
      <x:c r="AE53" s="5" t="n">
        <x:v>5</x:v>
      </x:c>
      <x:c r="AF53" s="5" t="n">
        <x:v>76300</x:v>
      </x:c>
      <x:c r="AG53" s="2" t="inlineStr">
        <x:is>
          <x:t xml:space="preserve">https://www.techpowerup.com/gpu-specs/l20.c4206
https://wccftech.com/nvidia-china-compliant-h20-gpu-41-percent-fewer-cores-lower-performance-vs-top-hopper-h100/</x:t>
        </x:is>
      </x:c>
      <x:c r="AH53" s="2" t="inlineStr">
        <x:is>
          <x:t xml:space="preserve">https://viperatech.com/shop/nvidia-l20-pcie/</x:t>
        </x:is>
      </x:c>
      <x:c r="AI53" s="2" t="n"/>
      <x:c r="AJ53" s="2" t="inlineStr">
        <x:is>
          <x:t xml:space="preserve">2025-07-21 09:20:29+00:00</x:t>
        </x:is>
      </x:c>
      <x:c r="AK53" s="4" t="n">
        <x:v>239000000000000</x:v>
      </x:c>
      <x:c r="AL53" s="4" t="n">
        <x:v>869090909090.9091</x:v>
      </x:c>
      <x:c r="AM53" s="4" t="n">
        <x:v>1912000000000000</x:v>
      </x:c>
      <x:c r="AN53" s="4" t="n">
        <x:v>55594324261.4562</x:v>
      </x:c>
      <x:c r="AO53" s="4" t="n">
        <x:v>239000000000000</x:v>
      </x:c>
    </x:row>
    <x:row r="54" s="9" customFormat="1" ht="129.60000610351562" customHeight="1">
      <x:c r="A54" s="2" t="inlineStr">
        <x:is>
          <x:t xml:space="preserve">NVIDIA RTX 6000 Ada Generation</x:t>
        </x:is>
      </x:c>
      <x:c r="B54" s="2" t="str">
        <x:f>IFERROR(VLOOKUP(TRIM($A54),_classification_map!$A$2:$C$227,2,FALSE),"")</x:f>
        <x:v>Ada Lovelace</x:v>
      </x:c>
      <x:c r="C54" s="2" t="str">
        <x:f>IFERROR(VLOOKUP(TRIM($A54),_classification_map!$A$2:$C$227,3,FALSE),"")</x:f>
        <x:v>RTX Workstation</x:v>
      </x:c>
      <x:c r="D54" s="2" t="inlineStr">
        <x:is>
          <x:t xml:space="preserve">NVIDIA</x:t>
        </x:is>
      </x:c>
      <x:c r="E54" s="2" t="inlineStr">
        <x:is>
          <x:t xml:space="preserve">GPU</x:t>
        </x:is>
      </x:c>
      <x:c r="F54" s="2" t="inlineStr">
        <x:is>
          <x:t xml:space="preserve">NVIDIA does not market this product for use in a datacenter, but the company describes it as a data center product in technical documentation (https://perma.cc/XUH2-YUMD), and the company's data center drivers are compatible with it (https://perma.cc/UXN9-637L). We divide performance by 2 to convert it from performance over sparse matrices to performance over dense matrices.</x:t>
        </x:is>
      </x:c>
      <x:c r="G54" s="2" t="inlineStr">
        <x:is>
          <x:t xml:space="preserve">2022-12-03</x:t>
        </x:is>
      </x:c>
      <x:c r="H54" s="3" t="n">
        <x:v>6799</x:v>
      </x:c>
      <x:c r="I54" s="4" t="n"/>
      <x:c r="J54" s="4" t="n">
        <x:v>729000000000000</x:v>
      </x:c>
      <x:c r="K54" s="4" t="n"/>
      <x:c r="L54" s="4" t="n"/>
      <x:c r="M54" s="4" t="n"/>
      <x:c r="N54" s="4" t="n"/>
      <x:c r="O54" s="4" t="n"/>
      <x:c r="P54" s="5" t="n"/>
      <x:c r="Q54" s="4" t="n">
        <x:v>1423000000000</x:v>
      </x:c>
      <x:c r="R54" s="4" t="n">
        <x:v>91060000000000</x:v>
      </x:c>
      <x:c r="S54" s="4" t="n"/>
      <x:c r="T54" s="4" t="n">
        <x:v>91060000000000</x:v>
      </x:c>
      <x:c r="U54" s="4" t="n"/>
      <x:c r="V54" s="4" t="n"/>
      <x:c r="W54" s="4" t="n"/>
      <x:c r="X54" s="2" t="inlineStr">
        <x:is>
          <x:t xml:space="preserve">TSMC</x:t>
        </x:is>
      </x:c>
      <x:c r="Y54" s="5" t="n">
        <x:v>608</x:v>
      </x:c>
      <x:c r="Z54" s="5" t="n"/>
      <x:c r="AA54" s="5" t="n"/>
      <x:c r="AB54" s="5" t="n"/>
      <x:c r="AC54" s="5" t="n"/>
      <x:c r="AD54" s="5" t="n"/>
      <x:c r="AE54" s="5" t="n">
        <x:v>5</x:v>
      </x:c>
      <x:c r="AF54" s="5" t="n">
        <x:v>76300</x:v>
      </x:c>
      <x:c r="AG54" s="2" t="inlineStr">
        <x:is>
          <x:t xml:space="preserve">https://perma.cc/63JP-L3WM
https://www.techpowerup.com/gpu-specs/rtx-6000-ada-generation.c3933</x:t>
        </x:is>
      </x:c>
      <x:c r="AH54" s="2" t="n"/>
      <x:c r="AI54" s="2" t="inlineStr">
        <x:is>
          <x:t xml:space="preserve">BADGER,PARM</x:t>
        </x:is>
      </x:c>
      <x:c r="AJ54" s="2" t="inlineStr">
        <x:is>
          <x:t xml:space="preserve">2026-03-18 12:56:18+00:00</x:t>
        </x:is>
      </x:c>
      <x:c r="AK54" s="4" t="n">
        <x:v>91060000000000</x:v>
      </x:c>
      <x:c r="AL54" s="4" t="n"/>
      <x:c r="AM54" s="4" t="n">
        <x:v>5832000000000000</x:v>
      </x:c>
      <x:c r="AN54" s="4" t="n">
        <x:v>13393146050.8898</x:v>
      </x:c>
      <x:c r="AO54" s="4" t="n">
        <x:v>729000000000000</x:v>
      </x:c>
    </x:row>
    <x:row r="55" s="9" customFormat="1" ht="57.599998474121094" customHeight="1">
      <x:c r="A55" s="2" t="inlineStr">
        <x:is>
          <x:t xml:space="preserve">NVIDIA L40</x:t>
        </x:is>
      </x:c>
      <x:c r="B55" s="2" t="str">
        <x:f>IFERROR(VLOOKUP(TRIM($A55),_classification_map!$A$2:$C$227,2,FALSE),"")</x:f>
        <x:v>Ada Lovelace</x:v>
      </x:c>
      <x:c r="C55" s="2" t="str">
        <x:f>IFERROR(VLOOKUP(TRIM($A55),_classification_map!$A$2:$C$227,3,FALSE),"")</x:f>
        <x:v>Datacenter L-series</x:v>
      </x:c>
      <x:c r="D55" s="2" t="inlineStr">
        <x:is>
          <x:t xml:space="preserve">NVIDIA</x:t>
        </x:is>
      </x:c>
      <x:c r="E55" s="2" t="inlineStr">
        <x:is>
          <x:t xml:space="preserve">GPU</x:t>
        </x:is>
      </x:c>
      <x:c r="F55" s="2" t="n"/>
      <x:c r="G55" s="2" t="inlineStr">
        <x:is>
          <x:t xml:space="preserve">2022-10-13</x:t>
        </x:is>
      </x:c>
      <x:c r="H55" s="3" t="n"/>
      <x:c r="I55" s="4" t="n">
        <x:v>181000000000000</x:v>
      </x:c>
      <x:c r="J55" s="4" t="n"/>
      <x:c r="K55" s="4" t="n"/>
      <x:c r="L55" s="4" t="n">
        <x:v>48000000000</x:v>
      </x:c>
      <x:c r="M55" s="4" t="n">
        <x:v>864000000000</x:v>
      </x:c>
      <x:c r="N55" s="4" t="n"/>
      <x:c r="O55" s="4" t="n"/>
      <x:c r="P55" s="5" t="n">
        <x:v>300</x:v>
      </x:c>
      <x:c r="Q55" s="4" t="n">
        <x:v>1414000000000</x:v>
      </x:c>
      <x:c r="R55" s="4" t="n">
        <x:v>90520000000000</x:v>
      </x:c>
      <x:c r="S55" s="4" t="n"/>
      <x:c r="T55" s="4" t="n">
        <x:v>90520000000000</x:v>
      </x:c>
      <x:c r="U55" s="4" t="n"/>
      <x:c r="V55" s="4" t="n">
        <x:v>362000000000000</x:v>
      </x:c>
      <x:c r="W55" s="4" t="n"/>
      <x:c r="X55" s="2" t="n"/>
      <x:c r="Y55" s="5" t="n">
        <x:v>608</x:v>
      </x:c>
      <x:c r="Z55" s="5" t="n">
        <x:v>735</x:v>
      </x:c>
      <x:c r="AA55" s="5" t="n">
        <x:v>2490</x:v>
      </x:c>
      <x:c r="AB55" s="5" t="n">
        <x:v>2250</x:v>
      </x:c>
      <x:c r="AC55" s="5" t="n">
        <x:v>384</x:v>
      </x:c>
      <x:c r="AD55" s="5" t="n">
        <x:v>568</x:v>
      </x:c>
      <x:c r="AE55" s="5" t="n"/>
      <x:c r="AF55" s="5" t="n">
        <x:v>76300</x:v>
      </x:c>
      <x:c r="AG55" s="2" t="inlineStr">
        <x:is>
          <x:t xml:space="preserve">https://www.techpowerup.com/gpu-specs/l40.c3959; https://www.nvidia.com/content/dam/en-zz/Solutions/design-visualization/support-guide/NVIDIA-L40-Datasheet-January-2023.pdf</x:t>
        </x:is>
      </x:c>
      <x:c r="AH55" s="2" t="n"/>
      <x:c r="AI55" s="2" t="n"/>
      <x:c r="AJ55" s="2" t="inlineStr">
        <x:is>
          <x:t xml:space="preserve">2025-07-21 09:21:01+00:00</x:t>
        </x:is>
      </x:c>
      <x:c r="AK55" s="4" t="n">
        <x:v>362000000000000</x:v>
      </x:c>
      <x:c r="AL55" s="4" t="n">
        <x:v>1206666666666.67</x:v>
      </x:c>
      <x:c r="AM55" s="4" t="n">
        <x:v>2896640000000000</x:v>
      </x:c>
      <x:c r="AN55" s="4" t="n"/>
      <x:c r="AO55" s="4" t="n">
        <x:v>362000000000000</x:v>
      </x:c>
    </x:row>
    <x:row r="56" s="9" customFormat="1" ht="28.799999237060547" customHeight="1">
      <x:c r="A56" s="2" t="inlineStr">
        <x:is>
          <x:t xml:space="preserve">AMD Radeon RX 7900 XTX</x:t>
        </x:is>
      </x:c>
      <x:c r="B56" s="2" t="str">
        <x:f>IFERROR(VLOOKUP(TRIM($A56),_classification_map!$A$2:$C$227,2,FALSE),"")</x:f>
        <x:v>RDNA 3</x:v>
      </x:c>
      <x:c r="C56" s="2" t="str">
        <x:f>IFERROR(VLOOKUP(TRIM($A56),_classification_map!$A$2:$C$227,3,FALSE),"")</x:f>
        <x:v>Radeon RX</x:v>
      </x:c>
      <x:c r="D56" s="2" t="inlineStr">
        <x:is>
          <x:t xml:space="preserve">AMD</x:t>
        </x:is>
      </x:c>
      <x:c r="E56" s="2" t="inlineStr">
        <x:is>
          <x:t xml:space="preserve">GPU</x:t>
        </x:is>
      </x:c>
      <x:c r="F56" s="2" t="n"/>
      <x:c r="G56" s="2" t="inlineStr">
        <x:is>
          <x:t xml:space="preserve">2022-11-03</x:t>
        </x:is>
      </x:c>
      <x:c r="H56" s="3" t="n">
        <x:v>999</x:v>
      </x:c>
      <x:c r="I56" s="4" t="n"/>
      <x:c r="J56" s="4" t="n"/>
      <x:c r="K56" s="4" t="n"/>
      <x:c r="L56" s="4" t="n">
        <x:v>24000000000</x:v>
      </x:c>
      <x:c r="M56" s="4" t="n">
        <x:v>960000000000</x:v>
      </x:c>
      <x:c r="N56" s="4" t="n"/>
      <x:c r="O56" s="4" t="n"/>
      <x:c r="P56" s="5" t="n">
        <x:v>335</x:v>
      </x:c>
      <x:c r="Q56" s="4" t="n">
        <x:v>1919000000000</x:v>
      </x:c>
      <x:c r="R56" s="4" t="n">
        <x:v>61420000000000</x:v>
      </x:c>
      <x:c r="S56" s="4" t="n"/>
      <x:c r="T56" s="4" t="n">
        <x:v>122800000000000</x:v>
      </x:c>
      <x:c r="U56" s="4" t="n"/>
      <x:c r="V56" s="4" t="n"/>
      <x:c r="W56" s="4" t="n"/>
      <x:c r="X56" s="2" t="n"/>
      <x:c r="Y56" s="5" t="n">
        <x:v>529</x:v>
      </x:c>
      <x:c r="Z56" s="5" t="n">
        <x:v>1860</x:v>
      </x:c>
      <x:c r="AA56" s="5" t="n">
        <x:v>2499</x:v>
      </x:c>
      <x:c r="AB56" s="5" t="n">
        <x:v>2500</x:v>
      </x:c>
      <x:c r="AC56" s="5" t="n">
        <x:v>384</x:v>
      </x:c>
      <x:c r="AD56" s="5" t="n">
        <x:v>96</x:v>
      </x:c>
      <x:c r="AE56" s="5" t="n"/>
      <x:c r="AF56" s="5" t="n">
        <x:v>57700</x:v>
      </x:c>
      <x:c r="AG56" s="2" t="inlineStr">
        <x:is>
          <x:t xml:space="preserve">https://www.techpowerup.com/gpu-specs/radeon-rx-7900-xtx.c3941</x:t>
        </x:is>
      </x:c>
      <x:c r="AH56" s="2" t="inlineStr">
        <x:is>
          <x:t xml:space="preserve">https://www.pcgamer.com/amd-radeon-rx-7900-xtx-xt-price-release-date-specs/</x:t>
        </x:is>
      </x:c>
      <x:c r="AI56" s="2" t="n"/>
      <x:c r="AJ56" s="2" t="inlineStr">
        <x:is>
          <x:t xml:space="preserve">2025-07-21 09:20:46+00:00</x:t>
        </x:is>
      </x:c>
      <x:c r="AK56" s="4" t="n">
        <x:v>122800000000000</x:v>
      </x:c>
      <x:c r="AL56" s="4" t="n">
        <x:v>366567164179.104</x:v>
      </x:c>
      <x:c r="AM56" s="4" t="n">
        <x:v>1965440000000000</x:v>
      </x:c>
      <x:c r="AN56" s="4" t="n">
        <x:v>122922922922.923</x:v>
      </x:c>
      <x:c r="AO56" s="4" t="n">
        <x:v>122800000000000</x:v>
      </x:c>
    </x:row>
    <x:row r="57" s="9" customFormat="1" ht="57.599998474121094" customHeight="1">
      <x:c r="A57" s="2" t="inlineStr">
        <x:is>
          <x:t xml:space="preserve">NVIDIA L40S</x:t>
        </x:is>
      </x:c>
      <x:c r="B57" s="2" t="str">
        <x:f>IFERROR(VLOOKUP(TRIM($A57),_classification_map!$A$2:$C$227,2,FALSE),"")</x:f>
        <x:v>Ada Lovelace</x:v>
      </x:c>
      <x:c r="C57" s="2" t="str">
        <x:f>IFERROR(VLOOKUP(TRIM($A57),_classification_map!$A$2:$C$227,3,FALSE),"")</x:f>
        <x:v>Datacenter L-series</x:v>
      </x:c>
      <x:c r="D57" s="2" t="inlineStr">
        <x:is>
          <x:t xml:space="preserve">NVIDIA</x:t>
        </x:is>
      </x:c>
      <x:c r="E57" s="2" t="inlineStr">
        <x:is>
          <x:t xml:space="preserve">GPU</x:t>
        </x:is>
      </x:c>
      <x:c r="F57" s="2" t="n"/>
      <x:c r="G57" s="2" t="inlineStr">
        <x:is>
          <x:t xml:space="preserve">2022-10-13</x:t>
        </x:is>
      </x:c>
      <x:c r="H57" s="3" t="n"/>
      <x:c r="I57" s="4" t="n">
        <x:v>181000000000000</x:v>
      </x:c>
      <x:c r="J57" s="4" t="n"/>
      <x:c r="K57" s="4" t="n"/>
      <x:c r="L57" s="4" t="n">
        <x:v>48000000000</x:v>
      </x:c>
      <x:c r="M57" s="4" t="n">
        <x:v>864000000000</x:v>
      </x:c>
      <x:c r="N57" s="4" t="n"/>
      <x:c r="O57" s="4" t="n"/>
      <x:c r="P57" s="5" t="n">
        <x:v>350</x:v>
      </x:c>
      <x:c r="Q57" s="4" t="n">
        <x:v>1431250000000</x:v>
      </x:c>
      <x:c r="R57" s="4" t="n">
        <x:v>91600000000000</x:v>
      </x:c>
      <x:c r="S57" s="4" t="n"/>
      <x:c r="T57" s="4" t="n"/>
      <x:c r="U57" s="4" t="n"/>
      <x:c r="V57" s="4" t="n">
        <x:v>362000000000000</x:v>
      </x:c>
      <x:c r="W57" s="4" t="n"/>
      <x:c r="X57" s="2" t="n"/>
      <x:c r="Y57" s="5" t="n">
        <x:v>608</x:v>
      </x:c>
      <x:c r="Z57" s="5" t="n">
        <x:v>735</x:v>
      </x:c>
      <x:c r="AA57" s="5" t="n">
        <x:v>2490</x:v>
      </x:c>
      <x:c r="AB57" s="5" t="n">
        <x:v>2250</x:v>
      </x:c>
      <x:c r="AC57" s="5" t="n">
        <x:v>384</x:v>
      </x:c>
      <x:c r="AD57" s="5" t="n">
        <x:v>568</x:v>
      </x:c>
      <x:c r="AE57" s="5" t="n"/>
      <x:c r="AF57" s="5" t="n">
        <x:v>76300</x:v>
      </x:c>
      <x:c r="AG57" s="2" t="inlineStr">
        <x:is>
          <x:t xml:space="preserve">https://www.techpowerup.com/gpu-specs/l40.c3959; https://www.nvidia.com/content/dam/en-zz/Solutions/design-visualization/support-guide/NVIDIA-L40-Datasheet-January-2023.pdf</x:t>
        </x:is>
      </x:c>
      <x:c r="AH57" s="2" t="n"/>
      <x:c r="AI57" s="2" t="n"/>
      <x:c r="AJ57" s="2" t="inlineStr">
        <x:is>
          <x:t xml:space="preserve">2025-07-21 09:21:01+00:00</x:t>
        </x:is>
      </x:c>
      <x:c r="AK57" s="4" t="n">
        <x:v>362000000000000</x:v>
      </x:c>
      <x:c r="AL57" s="4" t="n">
        <x:v>1206670000000</x:v>
      </x:c>
      <x:c r="AM57" s="4" t="n">
        <x:v>2896640000000000</x:v>
      </x:c>
      <x:c r="AN57" s="4" t="n"/>
      <x:c r="AO57" s="4" t="n">
        <x:v>362000000000000</x:v>
      </x:c>
    </x:row>
    <x:row r="58" s="9" customFormat="1" ht="28.799999237060547" customHeight="1">
      <x:c r="A58" s="2" t="inlineStr">
        <x:is>
          <x:t xml:space="preserve">NVIDIA Tesla V100 PCIe 32 GB</x:t>
        </x:is>
      </x:c>
      <x:c r="B58" s="2" t="str">
        <x:f>IFERROR(VLOOKUP(TRIM($A58),_classification_map!$A$2:$C$227,2,FALSE),"")</x:f>
        <x:v>Volta</x:v>
      </x:c>
      <x:c r="C58" s="2" t="str">
        <x:f>IFERROR(VLOOKUP(TRIM($A58),_classification_map!$A$2:$C$227,3,FALSE),"")</x:f>
        <x:v>Tesla</x:v>
      </x:c>
      <x:c r="D58" s="2" t="inlineStr">
        <x:is>
          <x:t xml:space="preserve">NVIDIA</x:t>
        </x:is>
      </x:c>
      <x:c r="E58" s="2" t="inlineStr">
        <x:is>
          <x:t xml:space="preserve">GPU</x:t>
        </x:is>
      </x:c>
      <x:c r="F58" s="2" t="n"/>
      <x:c r="G58" s="2" t="inlineStr">
        <x:is>
          <x:t xml:space="preserve">2018-03-27</x:t>
        </x:is>
      </x:c>
      <x:c r="H58" s="3" t="n">
        <x:v>11458</x:v>
      </x:c>
      <x:c r="I58" s="4" t="n">
        <x:v>112000000000000</x:v>
      </x:c>
      <x:c r="J58" s="4" t="n"/>
      <x:c r="K58" s="4" t="n"/>
      <x:c r="L58" s="4" t="n">
        <x:v>32000000000</x:v>
      </x:c>
      <x:c r="M58" s="4" t="n">
        <x:v>897000000000</x:v>
      </x:c>
      <x:c r="N58" s="4" t="n">
        <x:v>32000000000</x:v>
      </x:c>
      <x:c r="O58" s="4" t="n">
        <x:v>100000000000</x:v>
      </x:c>
      <x:c r="P58" s="5" t="n">
        <x:v>250</x:v>
      </x:c>
      <x:c r="Q58" s="4" t="n">
        <x:v>7066000000000</x:v>
      </x:c>
      <x:c r="R58" s="4" t="n">
        <x:v>14130000000000</x:v>
      </x:c>
      <x:c r="S58" s="4" t="n"/>
      <x:c r="T58" s="4" t="n">
        <x:v>28260000000000</x:v>
      </x:c>
      <x:c r="U58" s="4" t="n"/>
      <x:c r="V58" s="4" t="n"/>
      <x:c r="W58" s="4" t="n"/>
      <x:c r="X58" s="2" t="inlineStr">
        <x:is>
          <x:t xml:space="preserve">TSMC</x:t>
        </x:is>
      </x:c>
      <x:c r="Y58" s="5" t="n">
        <x:v>815</x:v>
      </x:c>
      <x:c r="Z58" s="5" t="n">
        <x:v>1230</x:v>
      </x:c>
      <x:c r="AA58" s="5" t="n">
        <x:v>1380</x:v>
      </x:c>
      <x:c r="AB58" s="5" t="n"/>
      <x:c r="AC58" s="5" t="n">
        <x:v>4096</x:v>
      </x:c>
      <x:c r="AD58" s="5" t="n">
        <x:v>640</x:v>
      </x:c>
      <x:c r="AE58" s="5" t="n">
        <x:v>12</x:v>
      </x:c>
      <x:c r="AF58" s="5" t="n">
        <x:v>21100</x:v>
      </x:c>
      <x:c r="AG58" s="2" t="inlineStr">
        <x:is>
          <x:t xml:space="preserve">https://www.techpowerup.com/gpu-specs/tesla-v100-pcie-32-gb.c3184</x:t>
        </x:is>
      </x:c>
      <x:c r="AH58" s="2" t="inlineStr">
        <x:is>
          <x:t xml:space="preserve">https://www.microway.com/hpc-tech-tips/nvidia-tesla-v100-price-analysis/</x:t>
        </x:is>
      </x:c>
      <x:c r="AI58" s="2" t="inlineStr">
        <x:is>
          <x:t xml:space="preserve">Retrieval-Augmented Generator</x:t>
        </x:is>
      </x:c>
      <x:c r="AJ58" s="2" t="inlineStr">
        <x:is>
          <x:t xml:space="preserve">2026-03-18 12:56:18+00:00</x:t>
        </x:is>
      </x:c>
      <x:c r="AK58" s="4" t="n">
        <x:v>112000000000000</x:v>
      </x:c>
      <x:c r="AL58" s="4" t="n">
        <x:v>448000000000</x:v>
      </x:c>
      <x:c r="AM58" s="4" t="n">
        <x:v>1792000000000000</x:v>
      </x:c>
      <x:c r="AN58" s="4" t="n">
        <x:v>9774829813.23093</x:v>
      </x:c>
      <x:c r="AO58" s="4" t="n">
        <x:v>112000000000000</x:v>
      </x:c>
    </x:row>
    <x:row r="59" s="9" customFormat="1" ht="28.799999237060547" customHeight="1">
      <x:c r="A59" s="2" t="inlineStr">
        <x:is>
          <x:t xml:space="preserve">NVIDIA Tesla V100 PCIe 16 GB</x:t>
        </x:is>
      </x:c>
      <x:c r="B59" s="2" t="str">
        <x:f>IFERROR(VLOOKUP(TRIM($A59),_classification_map!$A$2:$C$227,2,FALSE),"")</x:f>
        <x:v>Volta</x:v>
      </x:c>
      <x:c r="C59" s="2" t="str">
        <x:f>IFERROR(VLOOKUP(TRIM($A59),_classification_map!$A$2:$C$227,3,FALSE),"")</x:f>
        <x:v>Tesla</x:v>
      </x:c>
      <x:c r="D59" s="2" t="inlineStr">
        <x:is>
          <x:t xml:space="preserve">NVIDIA</x:t>
        </x:is>
      </x:c>
      <x:c r="E59" s="2" t="inlineStr">
        <x:is>
          <x:t xml:space="preserve">GPU</x:t>
        </x:is>
      </x:c>
      <x:c r="F59" s="2" t="n"/>
      <x:c r="G59" s="2" t="inlineStr">
        <x:is>
          <x:t xml:space="preserve">2017-06-21</x:t>
        </x:is>
      </x:c>
      <x:c r="H59" s="3" t="n">
        <x:v>10664</x:v>
      </x:c>
      <x:c r="I59" s="4" t="n">
        <x:v>112000000000000</x:v>
      </x:c>
      <x:c r="J59" s="4" t="n"/>
      <x:c r="K59" s="4" t="n"/>
      <x:c r="L59" s="4" t="n">
        <x:v>16000000000</x:v>
      </x:c>
      <x:c r="M59" s="4" t="n">
        <x:v>897000000000</x:v>
      </x:c>
      <x:c r="N59" s="4" t="n">
        <x:v>32000000000</x:v>
      </x:c>
      <x:c r="O59" s="4" t="n">
        <x:v>100000000000</x:v>
      </x:c>
      <x:c r="P59" s="5" t="n">
        <x:v>250</x:v>
      </x:c>
      <x:c r="Q59" s="4" t="n">
        <x:v>7066000000000</x:v>
      </x:c>
      <x:c r="R59" s="4" t="n">
        <x:v>14130000000000</x:v>
      </x:c>
      <x:c r="S59" s="4" t="n"/>
      <x:c r="T59" s="4" t="n">
        <x:v>28260000000000</x:v>
      </x:c>
      <x:c r="U59" s="4" t="n"/>
      <x:c r="V59" s="4" t="n"/>
      <x:c r="W59" s="4" t="n"/>
      <x:c r="X59" s="2" t="inlineStr">
        <x:is>
          <x:t xml:space="preserve">TSMC</x:t>
        </x:is>
      </x:c>
      <x:c r="Y59" s="5" t="n">
        <x:v>815</x:v>
      </x:c>
      <x:c r="Z59" s="5" t="n">
        <x:v>1245</x:v>
      </x:c>
      <x:c r="AA59" s="5" t="n">
        <x:v>1380</x:v>
      </x:c>
      <x:c r="AB59" s="5" t="n"/>
      <x:c r="AC59" s="5" t="n">
        <x:v>4096</x:v>
      </x:c>
      <x:c r="AD59" s="5" t="n">
        <x:v>640</x:v>
      </x:c>
      <x:c r="AE59" s="5" t="n">
        <x:v>12</x:v>
      </x:c>
      <x:c r="AF59" s="5" t="n">
        <x:v>21100</x:v>
      </x:c>
      <x:c r="AG59" s="2" t="inlineStr">
        <x:is>
          <x:t xml:space="preserve">https://www.techpowerup.com/gpu-specs/tesla-v100-pcie-16-gb.c2957</x:t>
        </x:is>
      </x:c>
      <x:c r="AH59" s="2" t="inlineStr">
        <x:is>
          <x:t xml:space="preserve">https://www.microway.com/hpc-tech-tips/nvidia-tesla-v100-price-analysis/</x:t>
        </x:is>
      </x:c>
      <x:c r="AI59" s="2" t="inlineStr">
        <x:is>
          <x:t xml:space="preserve">ASE</x:t>
        </x:is>
      </x:c>
      <x:c r="AJ59" s="2" t="inlineStr">
        <x:is>
          <x:t xml:space="preserve">2026-03-18 12:56:18+00:00</x:t>
        </x:is>
      </x:c>
      <x:c r="AK59" s="4" t="n">
        <x:v>112000000000000</x:v>
      </x:c>
      <x:c r="AL59" s="4" t="n">
        <x:v>448000000000</x:v>
      </x:c>
      <x:c r="AM59" s="4" t="n">
        <x:v>1792000000000000</x:v>
      </x:c>
      <x:c r="AN59" s="4" t="n">
        <x:v>10502625656.4141</x:v>
      </x:c>
      <x:c r="AO59" s="4" t="n">
        <x:v>112000000000000</x:v>
      </x:c>
    </x:row>
    <x:row r="60" s="9" customFormat="1" ht="28.799999237060547" customHeight="1">
      <x:c r="A60" s="2" t="inlineStr">
        <x:is>
          <x:t xml:space="preserve">NVIDIA Tesla V100 SXM2 16 GB</x:t>
        </x:is>
      </x:c>
      <x:c r="B60" s="2" t="str">
        <x:f>IFERROR(VLOOKUP(TRIM($A60),_classification_map!$A$2:$C$227,2,FALSE),"")</x:f>
        <x:v>Volta</x:v>
      </x:c>
      <x:c r="C60" s="2" t="str">
        <x:f>IFERROR(VLOOKUP(TRIM($A60),_classification_map!$A$2:$C$227,3,FALSE),"")</x:f>
        <x:v>Tesla</x:v>
      </x:c>
      <x:c r="D60" s="2" t="inlineStr">
        <x:is>
          <x:t xml:space="preserve">NVIDIA</x:t>
        </x:is>
      </x:c>
      <x:c r="E60" s="2" t="inlineStr">
        <x:is>
          <x:t xml:space="preserve">GPU</x:t>
        </x:is>
      </x:c>
      <x:c r="F60" s="2" t="n"/>
      <x:c r="G60" s="2" t="inlineStr">
        <x:is>
          <x:t xml:space="preserve">2017-06-21</x:t>
        </x:is>
      </x:c>
      <x:c r="H60" s="3" t="n"/>
      <x:c r="I60" s="4" t="n">
        <x:v>125000000000000</x:v>
      </x:c>
      <x:c r="J60" s="4" t="n"/>
      <x:c r="K60" s="4" t="n"/>
      <x:c r="L60" s="4" t="n"/>
      <x:c r="M60" s="4" t="n">
        <x:v>897000000000</x:v>
      </x:c>
      <x:c r="N60" s="4" t="n">
        <x:v>300000000000</x:v>
      </x:c>
      <x:c r="O60" s="4" t="n">
        <x:v>100000000000</x:v>
      </x:c>
      <x:c r="P60" s="5" t="n">
        <x:v>300</x:v>
      </x:c>
      <x:c r="Q60" s="4" t="n">
        <x:v>7834000000000</x:v>
      </x:c>
      <x:c r="R60" s="4" t="n">
        <x:v>15670000000000</x:v>
      </x:c>
      <x:c r="S60" s="4" t="n"/>
      <x:c r="T60" s="4" t="n">
        <x:v>31330000000000</x:v>
      </x:c>
      <x:c r="U60" s="4" t="n"/>
      <x:c r="V60" s="4" t="n"/>
      <x:c r="W60" s="4" t="n"/>
      <x:c r="X60" s="2" t="inlineStr">
        <x:is>
          <x:t xml:space="preserve">TSMC</x:t>
        </x:is>
      </x:c>
      <x:c r="Y60" s="5" t="n">
        <x:v>815</x:v>
      </x:c>
      <x:c r="Z60" s="5" t="n">
        <x:v>1312</x:v>
      </x:c>
      <x:c r="AA60" s="5" t="n">
        <x:v>1530</x:v>
      </x:c>
      <x:c r="AB60" s="5" t="n"/>
      <x:c r="AC60" s="5" t="n"/>
      <x:c r="AD60" s="5" t="n"/>
      <x:c r="AE60" s="5" t="n">
        <x:v>12</x:v>
      </x:c>
      <x:c r="AF60" s="5" t="n">
        <x:v>21100</x:v>
      </x:c>
      <x:c r="AG60" s="2" t="inlineStr">
        <x:is>
          <x:t xml:space="preserve">https://www.techpowerup.com/gpu-specs/tesla-v100-sxm2-16-gb.c3018</x:t>
        </x:is>
      </x:c>
      <x:c r="AH60" s="2" t="n"/>
      <x:c r="AI60" s="2" t="n"/>
      <x:c r="AJ60" s="2" t="inlineStr">
        <x:is>
          <x:t xml:space="preserve">2025-10-29 21:57:01+00:00</x:t>
        </x:is>
      </x:c>
      <x:c r="AK60" s="4" t="n">
        <x:v>125000000000000</x:v>
      </x:c>
      <x:c r="AL60" s="4" t="n">
        <x:v>416666666666.667</x:v>
      </x:c>
      <x:c r="AM60" s="4" t="n">
        <x:v>2000000000000000</x:v>
      </x:c>
      <x:c r="AN60" s="4" t="n"/>
      <x:c r="AO60" s="4" t="n">
        <x:v>125000000000000</x:v>
      </x:c>
    </x:row>
    <x:row r="61">
      <x:c r="A61" s="2" t="inlineStr">
        <x:is>
          <x:t xml:space="preserve">NVIDIA Tesla V100 SXM3 32 GB</x:t>
        </x:is>
      </x:c>
      <x:c r="B61" s="2" t="str">
        <x:f>IFERROR(VLOOKUP(TRIM($A61),_classification_map!$A$2:$C$227,2,FALSE),"")</x:f>
        <x:v>Volta</x:v>
      </x:c>
      <x:c r="C61" s="2" t="str">
        <x:f>IFERROR(VLOOKUP(TRIM($A61),_classification_map!$A$2:$C$227,3,FALSE),"")</x:f>
        <x:v>Tesla</x:v>
      </x:c>
      <x:c r="D61" s="2" t="inlineStr">
        <x:is>
          <x:t xml:space="preserve">NVIDIA</x:t>
        </x:is>
      </x:c>
      <x:c r="E61" s="2" t="inlineStr">
        <x:is>
          <x:t xml:space="preserve">GPU</x:t>
        </x:is>
      </x:c>
      <x:c r="F61" s="2" t="n"/>
      <x:c r="G61" s="2" t="inlineStr">
        <x:is>
          <x:t xml:space="preserve">2018-03-27</x:t>
        </x:is>
      </x:c>
      <x:c r="H61" s="3" t="n"/>
      <x:c r="I61" s="4" t="n">
        <x:v>125000000000000</x:v>
      </x:c>
      <x:c r="J61" s="4" t="n"/>
      <x:c r="K61" s="4" t="n"/>
      <x:c r="L61" s="4" t="n"/>
      <x:c r="M61" s="4" t="n">
        <x:v>898000000000</x:v>
      </x:c>
      <x:c r="N61" s="4" t="n">
        <x:v>300000000000</x:v>
      </x:c>
      <x:c r="O61" s="4" t="n">
        <x:v>100000000000</x:v>
      </x:c>
      <x:c r="P61" s="5" t="n">
        <x:v>300</x:v>
      </x:c>
      <x:c r="Q61" s="4" t="n">
        <x:v>7834000000000</x:v>
      </x:c>
      <x:c r="R61" s="4" t="n">
        <x:v>15670000000000</x:v>
      </x:c>
      <x:c r="S61" s="4" t="n"/>
      <x:c r="T61" s="4" t="n">
        <x:v>31330000000000</x:v>
      </x:c>
      <x:c r="U61" s="4" t="n"/>
      <x:c r="V61" s="4" t="n"/>
      <x:c r="W61" s="4" t="n"/>
      <x:c r="X61" s="2" t="inlineStr">
        <x:is>
          <x:t xml:space="preserve">TSMC</x:t>
        </x:is>
      </x:c>
      <x:c r="Y61" s="5" t="n">
        <x:v>815</x:v>
      </x:c>
      <x:c r="Z61" s="5" t="n">
        <x:v>1290</x:v>
      </x:c>
      <x:c r="AA61" s="5" t="n"/>
      <x:c r="AB61" s="5" t="n"/>
      <x:c r="AC61" s="5" t="n"/>
      <x:c r="AD61" s="5" t="n"/>
      <x:c r="AE61" s="5" t="n">
        <x:v>12</x:v>
      </x:c>
      <x:c r="AF61" s="5" t="n">
        <x:v>21100</x:v>
      </x:c>
      <x:c r="AG61" s="2" t="n"/>
      <x:c r="AH61" s="2" t="n"/>
      <x:c r="AI61" s="2" t="inlineStr">
        <x:is>
          <x:t xml:space="preserve">Megatron-LM (1.2B)</x:t>
        </x:is>
      </x:c>
      <x:c r="AJ61" s="2" t="inlineStr">
        <x:is>
          <x:t xml:space="preserve">2026-03-18 12:56:18+00:00</x:t>
        </x:is>
      </x:c>
      <x:c r="AK61" s="4" t="n">
        <x:v>125000000000000</x:v>
      </x:c>
      <x:c r="AL61" s="4" t="n">
        <x:v>416666666666.667</x:v>
      </x:c>
      <x:c r="AM61" s="4" t="n">
        <x:v>2000000000000000</x:v>
      </x:c>
      <x:c r="AN61" s="4" t="n"/>
      <x:c r="AO61" s="4" t="n">
        <x:v>125000000000000</x:v>
      </x:c>
    </x:row>
    <x:row r="62" s="9" customFormat="1" ht="72" customHeight="1">
      <x:c r="A62" s="2" t="inlineStr">
        <x:is>
          <x:t xml:space="preserve">NVIDIA GeForce RTX 4090</x:t>
        </x:is>
      </x:c>
      <x:c r="B62" s="2" t="str">
        <x:f>IFERROR(VLOOKUP(TRIM($A62),_classification_map!$A$2:$C$227,2,FALSE),"")</x:f>
        <x:v>Ada Lovelace</x:v>
      </x:c>
      <x:c r="C62" s="2" t="str">
        <x:f>IFERROR(VLOOKUP(TRIM($A62),_classification_map!$A$2:$C$227,3,FALSE),"")</x:f>
        <x:v>GeForce RTX</x:v>
      </x:c>
      <x:c r="D62" s="2" t="inlineStr">
        <x:is>
          <x:t xml:space="preserve">NVIDIA</x:t>
        </x:is>
      </x:c>
      <x:c r="E62" s="2" t="inlineStr">
        <x:is>
          <x:t xml:space="preserve">GPU</x:t>
        </x:is>
      </x:c>
      <x:c r="F62" s="2" t="n"/>
      <x:c r="G62" s="2" t="inlineStr">
        <x:is>
          <x:t xml:space="preserve">2022-09-20</x:t>
        </x:is>
      </x:c>
      <x:c r="H62" s="3" t="n">
        <x:v>1599</x:v>
      </x:c>
      <x:c r="I62" s="4" t="n">
        <x:v>330000000000000</x:v>
      </x:c>
      <x:c r="J62" s="4" t="n"/>
      <x:c r="K62" s="4" t="n"/>
      <x:c r="L62" s="4" t="n">
        <x:v>24000000000</x:v>
      </x:c>
      <x:c r="M62" s="4" t="n">
        <x:v>1008000000000</x:v>
      </x:c>
      <x:c r="N62" s="4" t="n"/>
      <x:c r="O62" s="4" t="n"/>
      <x:c r="P62" s="5" t="n">
        <x:v>450</x:v>
      </x:c>
      <x:c r="Q62" s="4" t="n">
        <x:v>1290000000000</x:v>
      </x:c>
      <x:c r="R62" s="4" t="n">
        <x:v>82600000000000</x:v>
      </x:c>
      <x:c r="S62" s="4" t="n">
        <x:v>82600000000000</x:v>
      </x:c>
      <x:c r="T62" s="4" t="n">
        <x:v>82600000000000</x:v>
      </x:c>
      <x:c r="U62" s="4" t="n"/>
      <x:c r="V62" s="4" t="n">
        <x:v>660600000000000</x:v>
      </x:c>
      <x:c r="W62" s="4" t="n"/>
      <x:c r="X62" s="2" t="n"/>
      <x:c r="Y62" s="5" t="n">
        <x:v>608</x:v>
      </x:c>
      <x:c r="Z62" s="5" t="n">
        <x:v>2235</x:v>
      </x:c>
      <x:c r="AA62" s="5" t="n">
        <x:v>2520</x:v>
      </x:c>
      <x:c r="AB62" s="5" t="n">
        <x:v>1313</x:v>
      </x:c>
      <x:c r="AC62" s="5" t="n">
        <x:v>384</x:v>
      </x:c>
      <x:c r="AD62" s="5" t="n">
        <x:v>512</x:v>
      </x:c>
      <x:c r="AE62" s="5" t="n"/>
      <x:c r="AF62" s="5" t="n">
        <x:v>76300</x:v>
      </x:c>
      <x:c r="AG62" s="2" t="inlineStr">
        <x:is>
          <x:t xml:space="preserve">https://www.techpowerup.com/gpu-specs/geforce-rtx-4090.c3889</x:t>
        </x:is>
      </x:c>
      <x:c r="AH62" s="2" t="inlineStr">
        <x:is>
          <x:t xml:space="preserve">https://www.pcgamesn.com/nvidia/rtx-4090-release-date-price-spec-and-benchmarks</x:t>
        </x:is>
      </x:c>
      <x:c r="AI62" s="2" t="inlineStr">
        <x:is>
          <x:t xml:space="preserve">Diamond,JetFire (GPT2-LARGE),Rethinking Molecular Design: Integrating Latent Variable and Auto-Regressive Models for Goal Directed Generation,AtomFlow,OmniGenome,ManiGaussian,Fish-Speech 1.4</x:t>
        </x:is>
      </x:c>
      <x:c r="AJ62" s="2" t="inlineStr">
        <x:is>
          <x:t xml:space="preserve">2026-03-18 12:56:18+00:00</x:t>
        </x:is>
      </x:c>
      <x:c r="AK62" s="4" t="n">
        <x:v>660600000000000</x:v>
      </x:c>
      <x:c r="AL62" s="4" t="n">
        <x:v>1468000000000</x:v>
      </x:c>
      <x:c r="AM62" s="4" t="n">
        <x:v>5284800000000000</x:v>
      </x:c>
      <x:c r="AN62" s="4" t="n">
        <x:v>413133208255.159</x:v>
      </x:c>
      <x:c r="AO62" s="4" t="n">
        <x:v>660600000000000</x:v>
      </x:c>
    </x:row>
    <x:row r="63" s="9" customFormat="1" ht="28.799999237060547" customHeight="1">
      <x:c r="A63" s="2" t="inlineStr">
        <x:is>
          <x:t xml:space="preserve">NVIDIA Tesla V100 SXM2 32 GB</x:t>
        </x:is>
      </x:c>
      <x:c r="B63" s="2" t="str">
        <x:f>IFERROR(VLOOKUP(TRIM($A63),_classification_map!$A$2:$C$227,2,FALSE),"")</x:f>
        <x:v>Volta</x:v>
      </x:c>
      <x:c r="C63" s="2" t="str">
        <x:f>IFERROR(VLOOKUP(TRIM($A63),_classification_map!$A$2:$C$227,3,FALSE),"")</x:f>
        <x:v>Tesla</x:v>
      </x:c>
      <x:c r="D63" s="2" t="inlineStr">
        <x:is>
          <x:t xml:space="preserve">NVIDIA</x:t>
        </x:is>
      </x:c>
      <x:c r="E63" s="2" t="inlineStr">
        <x:is>
          <x:t xml:space="preserve">GPU</x:t>
        </x:is>
      </x:c>
      <x:c r="F63" s="2" t="n"/>
      <x:c r="G63" s="2" t="inlineStr">
        <x:is>
          <x:t xml:space="preserve">2018-03-27</x:t>
        </x:is>
      </x:c>
      <x:c r="H63" s="3" t="n">
        <x:v>11458</x:v>
      </x:c>
      <x:c r="I63" s="4" t="n">
        <x:v>125000000000000</x:v>
      </x:c>
      <x:c r="J63" s="4" t="n"/>
      <x:c r="K63" s="4" t="n"/>
      <x:c r="L63" s="4" t="n">
        <x:v>32000000000</x:v>
      </x:c>
      <x:c r="M63" s="4" t="n">
        <x:v>898000000000</x:v>
      </x:c>
      <x:c r="N63" s="4" t="n">
        <x:v>300000000000</x:v>
      </x:c>
      <x:c r="O63" s="4" t="n">
        <x:v>100000000000</x:v>
      </x:c>
      <x:c r="P63" s="5" t="n">
        <x:v>300</x:v>
      </x:c>
      <x:c r="Q63" s="4" t="n">
        <x:v>7834000000000</x:v>
      </x:c>
      <x:c r="R63" s="4" t="n">
        <x:v>15670000000000</x:v>
      </x:c>
      <x:c r="S63" s="4" t="n"/>
      <x:c r="T63" s="4" t="n">
        <x:v>31330000000000</x:v>
      </x:c>
      <x:c r="U63" s="4" t="n"/>
      <x:c r="V63" s="4" t="n"/>
      <x:c r="W63" s="4" t="n"/>
      <x:c r="X63" s="2" t="inlineStr">
        <x:is>
          <x:t xml:space="preserve">TSMC</x:t>
        </x:is>
      </x:c>
      <x:c r="Y63" s="5" t="n">
        <x:v>815</x:v>
      </x:c>
      <x:c r="Z63" s="5" t="n">
        <x:v>1290</x:v>
      </x:c>
      <x:c r="AA63" s="5" t="n">
        <x:v>1530</x:v>
      </x:c>
      <x:c r="AB63" s="5" t="n"/>
      <x:c r="AC63" s="5" t="n">
        <x:v>4096</x:v>
      </x:c>
      <x:c r="AD63" s="5" t="n">
        <x:v>640</x:v>
      </x:c>
      <x:c r="AE63" s="5" t="n">
        <x:v>12</x:v>
      </x:c>
      <x:c r="AF63" s="5" t="n">
        <x:v>21100</x:v>
      </x:c>
      <x:c r="AG63" s="2" t="inlineStr">
        <x:is>
          <x:t xml:space="preserve">https://www.techpowerup.com/gpu-specs/tesla-v100-sxm2-32-gb.c3185</x:t>
        </x:is>
      </x:c>
      <x:c r="AH63" s="2" t="inlineStr">
        <x:is>
          <x:t xml:space="preserve">https://www.microway.com/hpc-tech-tips/nvidia-tesla-v100-price-analysis/</x:t>
        </x:is>
      </x:c>
      <x:c r="AI63" s="2" t="n"/>
      <x:c r="AJ63" s="2" t="inlineStr">
        <x:is>
          <x:t xml:space="preserve">2025-10-29 21:57:06+00:00</x:t>
        </x:is>
      </x:c>
      <x:c r="AK63" s="4" t="n">
        <x:v>125000000000000</x:v>
      </x:c>
      <x:c r="AL63" s="4" t="n">
        <x:v>416666666666.667</x:v>
      </x:c>
      <x:c r="AM63" s="4" t="n">
        <x:v>2000000000000000</x:v>
      </x:c>
      <x:c r="AN63" s="4" t="n">
        <x:v>10909408273.6952</x:v>
      </x:c>
      <x:c r="AO63" s="4" t="n">
        <x:v>125000000000000</x:v>
      </x:c>
    </x:row>
    <x:row r="64" s="9" customFormat="1" ht="28.799999237060547" customHeight="1">
      <x:c r="A64" s="2" t="inlineStr">
        <x:is>
          <x:t xml:space="preserve">NVIDIA GeForce RTX 4080</x:t>
        </x:is>
      </x:c>
      <x:c r="B64" s="2" t="str">
        <x:f>IFERROR(VLOOKUP(TRIM($A64),_classification_map!$A$2:$C$227,2,FALSE),"")</x:f>
        <x:v>Ada Lovelace</x:v>
      </x:c>
      <x:c r="C64" s="2" t="str">
        <x:f>IFERROR(VLOOKUP(TRIM($A64),_classification_map!$A$2:$C$227,3,FALSE),"")</x:f>
        <x:v>GeForce RTX</x:v>
      </x:c>
      <x:c r="D64" s="2" t="inlineStr">
        <x:is>
          <x:t xml:space="preserve">NVIDIA</x:t>
        </x:is>
      </x:c>
      <x:c r="E64" s="2" t="inlineStr">
        <x:is>
          <x:t xml:space="preserve">GPU</x:t>
        </x:is>
      </x:c>
      <x:c r="F64" s="2" t="n"/>
      <x:c r="G64" s="2" t="inlineStr">
        <x:is>
          <x:t xml:space="preserve">2022-09-20</x:t>
        </x:is>
      </x:c>
      <x:c r="H64" s="3" t="n">
        <x:v>1199</x:v>
      </x:c>
      <x:c r="I64" s="4" t="n">
        <x:v>194900000000000</x:v>
      </x:c>
      <x:c r="J64" s="4" t="n"/>
      <x:c r="K64" s="4" t="n"/>
      <x:c r="L64" s="4" t="n">
        <x:v>16000000000</x:v>
      </x:c>
      <x:c r="M64" s="4" t="n">
        <x:v>716800000000</x:v>
      </x:c>
      <x:c r="N64" s="4" t="n"/>
      <x:c r="O64" s="4" t="n"/>
      <x:c r="P64" s="5" t="n">
        <x:v>320</x:v>
      </x:c>
      <x:c r="Q64" s="4" t="n">
        <x:v>761500000000</x:v>
      </x:c>
      <x:c r="R64" s="4" t="n">
        <x:v>48740000000000</x:v>
      </x:c>
      <x:c r="S64" s="4" t="n"/>
      <x:c r="T64" s="4" t="n">
        <x:v>48740000000000</x:v>
      </x:c>
      <x:c r="U64" s="4" t="n"/>
      <x:c r="V64" s="4" t="n">
        <x:v>390000000000000</x:v>
      </x:c>
      <x:c r="W64" s="4" t="n"/>
      <x:c r="X64" s="2" t="inlineStr">
        <x:is>
          <x:t xml:space="preserve">TSMC</x:t>
        </x:is>
      </x:c>
      <x:c r="Y64" s="5" t="n">
        <x:v>379</x:v>
      </x:c>
      <x:c r="Z64" s="5" t="n">
        <x:v>2205</x:v>
      </x:c>
      <x:c r="AA64" s="5" t="n">
        <x:v>2505</x:v>
      </x:c>
      <x:c r="AB64" s="5" t="n">
        <x:v>1400</x:v>
      </x:c>
      <x:c r="AC64" s="5" t="n">
        <x:v>256</x:v>
      </x:c>
      <x:c r="AD64" s="5" t="n">
        <x:v>304</x:v>
      </x:c>
      <x:c r="AE64" s="5" t="n"/>
      <x:c r="AF64" s="5" t="n">
        <x:v>45900</x:v>
      </x:c>
      <x:c r="AG64" s="2" t="inlineStr">
        <x:is>
          <x:t xml:space="preserve">https://www.techpowerup.com/gpu-specs/geforce-rtx-4080.c3888</x:t>
        </x:is>
      </x:c>
      <x:c r="AH64" s="2" t="n"/>
      <x:c r="AI64" s="2" t="n"/>
      <x:c r="AJ64" s="2" t="inlineStr">
        <x:is>
          <x:t xml:space="preserve">2025-07-21 09:21:02+00:00</x:t>
        </x:is>
      </x:c>
      <x:c r="AK64" s="4" t="n">
        <x:v>390000000000000</x:v>
      </x:c>
      <x:c r="AL64" s="4" t="n">
        <x:v>1218750000000</x:v>
      </x:c>
      <x:c r="AM64" s="4" t="n">
        <x:v>3120000000000000</x:v>
      </x:c>
      <x:c r="AN64" s="4" t="n">
        <x:v>325271059216.013</x:v>
      </x:c>
      <x:c r="AO64" s="4" t="n">
        <x:v>390000000000000</x:v>
      </x:c>
    </x:row>
    <x:row r="65" s="9" customFormat="1" ht="331.20001220703125" customHeight="1">
      <x:c r="A65" s="2" t="inlineStr">
        <x:is>
          <x:t xml:space="preserve">Google TPU v3</x:t>
        </x:is>
      </x:c>
      <x:c r="B65" s="2" t="str">
        <x:f>IFERROR(VLOOKUP(TRIM($A65),_classification_map!$A$2:$C$227,2,FALSE),"")</x:f>
        <x:v>TPU v3</x:v>
      </x:c>
      <x:c r="C65" s="2" t="str">
        <x:f>IFERROR(VLOOKUP(TRIM($A65),_classification_map!$A$2:$C$227,3,FALSE),"")</x:f>
        <x:v>TPU</x:v>
      </x:c>
      <x:c r="D65" s="2" t="inlineStr">
        <x:is>
          <x:t xml:space="preserve">Google</x:t>
        </x:is>
      </x:c>
      <x:c r="E65" s="2" t="inlineStr">
        <x:is>
          <x:t xml:space="preserve">TPU</x:t>
        </x:is>
      </x:c>
      <x:c r="F65" s="2" t="n"/>
      <x:c r="G65" s="2" t="inlineStr">
        <x:is>
          <x:t xml:space="preserve">2018-05-18</x:t>
        </x:is>
      </x:c>
      <x:c r="H65" s="3" t="n"/>
      <x:c r="I65" s="4" t="n">
        <x:v>123000000000000</x:v>
      </x:c>
      <x:c r="J65" s="4" t="n"/>
      <x:c r="K65" s="4" t="n"/>
      <x:c r="L65" s="4" t="n">
        <x:v>32000000000</x:v>
      </x:c>
      <x:c r="M65" s="4" t="n">
        <x:v>900000000000</x:v>
      </x:c>
      <x:c r="N65" s="4" t="n"/>
      <x:c r="O65" s="4" t="n"/>
      <x:c r="P65" s="5" t="n">
        <x:v>450</x:v>
      </x:c>
      <x:c r="Q65" s="4" t="n"/>
      <x:c r="R65" s="4" t="n"/>
      <x:c r="S65" s="4" t="n"/>
      <x:c r="T65" s="4" t="n"/>
      <x:c r="U65" s="4" t="n"/>
      <x:c r="V65" s="4" t="n"/>
      <x:c r="W65" s="4" t="n"/>
      <x:c r="X65" s="2" t="n"/>
      <x:c r="Y65" s="5" t="n"/>
      <x:c r="Z65" s="5" t="n"/>
      <x:c r="AA65" s="5" t="n"/>
      <x:c r="AB65" s="5" t="n"/>
      <x:c r="AC65" s="5" t="n"/>
      <x:c r="AD65" s="5" t="n"/>
      <x:c r="AE65" s="5" t="n">
        <x:v>16</x:v>
      </x:c>
      <x:c r="AF65" s="5" t="n"/>
      <x:c r="AG65" s="2" t="inlineStr">
        <x:is>
          <x:t xml:space="preserve">https://cloud.google.com/tpu/docs/system-architecture-tpu-vm
https://dl.acm.org/doi/pdf/10.1145/3360307 </x:t>
        </x:is>
      </x:c>
      <x:c r="AH65" s="2" t="inlineStr">
        <x:is>
          <x:t xml:space="preserve">https://www.techpowerup.com/gpu-specs/geforce-gtx-1080-ti.c2877#:~:text=The%20GeForce%20GTX%201080%20Ti,on%20GeForce%20GTX%201080%20Ti.</x:t>
        </x:is>
      </x:c>
      <x:c r="AI65" s="2" t="inlineStr">
        <x:is>
          <x:t xml:space="preserve">BigGAN-deep 512x512,MnasNet-A3,MnasNet-A1 + SSDLite,T5-3B,T5-11B,SimCLR,EfficientNetV2-XL,Denoising Diffusion Probabilistic Models (LSUN Bedroom),Meena,AlphaFold 2,CoAtNet,Big Transfer (BiT-L),Conformer + Wav2vec 2.0 + Noisy Student,ContextNet + Noisy Student,ALBERT,ViT-G/14 (LiT),ViT-G/14,AlphaStar,ByT5-XXL,Gopher (280B),LaMDA,ALIGN,GShard (dense),UnifiedQA,DiT-XL/2,AlphaFold-Multimer,Chinchilla,ProGen2-xlarge,Adaptive Agent,Instruct-GPT + Mind's Eye,PaLM-SayCan,ResNet-RS,Meta Pseudo Labels,GOAT,Switch,ProtT5-XXL,LongT5,SciBERT,AlphaGeometry,GBERT-Large,German ELECTRA Large,DALL-E mega,DALL-E mini,T0-XXL,ViT-Huge/14,ALBERT-xxlarge,Gato,Noisy Student (L2),ProtBERT-BFD,FLAN 137B,ProtT5-XXL-BFD,Hawk,Griffin,Tk-Instruct,Delphi,XLNet,GPT-J-6B,PaliGemma,Tulu V2 DPO 70B,AlphaTensor,GPT-2 (1.5B),ProtBERT-UniRef,Transformer-XL (257M),RFA-GATE-Gaussian-Stateful Big,Long-range sequence Compressive Transformers,Local Transformer (WT103),Big Transfer (BiT-M),ProGen2-base,AraGPT2-Mega,AraELECTRA,AraBERT LArge v2,DCTransformer (ImageNet),SPN (CelebA HQ),SPN (ImageNet 128),AlphaGenome,Grover-Mega,GShard (600B),LIMoE-H/14,MetNet,BYOL,GQA-8-XXL</x:t>
        </x:is>
      </x:c>
      <x:c r="AJ65" s="2" t="inlineStr">
        <x:is>
          <x:t xml:space="preserve">2026-03-18 18:59:49+00:00</x:t>
        </x:is>
      </x:c>
      <x:c r="AK65" s="4" t="n">
        <x:v>123000000000000</x:v>
      </x:c>
      <x:c r="AL65" s="4" t="n">
        <x:v>273333333333.333</x:v>
      </x:c>
      <x:c r="AM65" s="4" t="n">
        <x:v>1968000000000000</x:v>
      </x:c>
      <x:c r="AN65" s="4" t="n"/>
      <x:c r="AO65" s="4" t="n">
        <x:v>123000000000000</x:v>
      </x:c>
    </x:row>
    <x:row r="66" s="9" customFormat="1" ht="28.799999237060547" customHeight="1">
      <x:c r="A66" s="2" t="inlineStr">
        <x:is>
          <x:t xml:space="preserve">NVIDIA A30</x:t>
        </x:is>
      </x:c>
      <x:c r="B66" s="2" t="str">
        <x:f>IFERROR(VLOOKUP(TRIM($A66),_classification_map!$A$2:$C$227,2,FALSE),"")</x:f>
        <x:v>Ampere</x:v>
      </x:c>
      <x:c r="C66" s="2" t="str">
        <x:f>IFERROR(VLOOKUP(TRIM($A66),_classification_map!$A$2:$C$227,3,FALSE),"")</x:f>
        <x:v>Datacenter A-series</x:v>
      </x:c>
      <x:c r="D66" s="2" t="inlineStr">
        <x:is>
          <x:t xml:space="preserve">NVIDIA</x:t>
        </x:is>
      </x:c>
      <x:c r="E66" s="2" t="inlineStr">
        <x:is>
          <x:t xml:space="preserve">GPU</x:t>
        </x:is>
      </x:c>
      <x:c r="F66" s="2" t="inlineStr">
        <x:is>
          <x:t xml:space="preserve">Ampere; data center GPU</x:t>
        </x:is>
      </x:c>
      <x:c r="G66" s="2" t="inlineStr">
        <x:is>
          <x:t xml:space="preserve">2021-04-21</x:t>
        </x:is>
      </x:c>
      <x:c r="H66" s="3" t="n"/>
      <x:c r="I66" s="4" t="n">
        <x:v>165000000000000</x:v>
      </x:c>
      <x:c r="J66" s="4" t="n"/>
      <x:c r="K66" s="4" t="n"/>
      <x:c r="L66" s="4" t="n">
        <x:v>25769803776</x:v>
      </x:c>
      <x:c r="M66" s="4" t="n">
        <x:v>933000000000</x:v>
      </x:c>
      <x:c r="N66" s="4" t="n">
        <x:v>64000000000</x:v>
      </x:c>
      <x:c r="O66" s="4" t="n"/>
      <x:c r="P66" s="5" t="n">
        <x:v>165</x:v>
      </x:c>
      <x:c r="Q66" s="4" t="n">
        <x:v>5200000000000</x:v>
      </x:c>
      <x:c r="R66" s="4" t="n">
        <x:v>10300000000000</x:v>
      </x:c>
      <x:c r="S66" s="4" t="n">
        <x:v>82000000000000</x:v>
      </x:c>
      <x:c r="T66" s="4" t="n">
        <x:v>165000000000000</x:v>
      </x:c>
      <x:c r="U66" s="4" t="n"/>
      <x:c r="V66" s="4" t="n">
        <x:v>330000000000000</x:v>
      </x:c>
      <x:c r="W66" s="4" t="n">
        <x:v>661000000000000</x:v>
      </x:c>
      <x:c r="X66" s="2" t="n"/>
      <x:c r="Y66" s="5" t="n"/>
      <x:c r="Z66" s="5" t="n"/>
      <x:c r="AA66" s="5" t="n"/>
      <x:c r="AB66" s="5" t="n"/>
      <x:c r="AC66" s="5" t="n"/>
      <x:c r="AD66" s="5" t="n"/>
      <x:c r="AE66" s="5" t="n"/>
      <x:c r="AF66" s="5" t="n">
        <x:v>54000</x:v>
      </x:c>
      <x:c r="AG66" s="2" t="inlineStr">
        <x:is>
          <x:t xml:space="preserve">https://www.nvidia.com/en-us/data-center/products/a30-gpu/</x:t>
        </x:is>
      </x:c>
      <x:c r="AH66" s="2" t="n"/>
      <x:c r="AI66" s="2" t="inlineStr">
        <x:is>
          <x:t xml:space="preserve">NVIDIA AI Enterprise; NVIDIA Virtual Compute Server</x:t>
        </x:is>
      </x:c>
      <x:c r="AJ66" s="2" t="n"/>
      <x:c r="AK66" s="4" t="n"/>
      <x:c r="AL66" s="4" t="n"/>
      <x:c r="AM66" s="4" t="n"/>
      <x:c r="AN66" s="4" t="n"/>
      <x:c r="AO66" s="4" t="n"/>
    </x:row>
    <x:row r="67" s="9" customFormat="1" ht="57.599998474121094" customHeight="1">
      <x:c r="A67" s="2" t="inlineStr">
        <x:is>
          <x:t xml:space="preserve">MT-3000</x:t>
        </x:is>
      </x:c>
      <x:c r="B67" s="2" t="str">
        <x:f>IFERROR(VLOOKUP(TRIM($A67),_classification_map!$A$2:$C$227,2,FALSE),"")</x:f>
        <x:v>MT-3000</x:v>
      </x:c>
      <x:c r="C67" s="2" t="str">
        <x:f>IFERROR(VLOOKUP(TRIM($A67),_classification_map!$A$2:$C$227,3,FALSE),"")</x:f>
        <x:v>MT</x:v>
      </x:c>
      <x:c r="D67" s="2" t="inlineStr">
        <x:is>
          <x:t xml:space="preserve">National University of Defense Technology</x:t>
        </x:is>
      </x:c>
      <x:c r="E67" s="2" t="inlineStr">
        <x:is>
          <x:t xml:space="preserve">Hybrid CPU</x:t>
        </x:is>
      </x:c>
      <x:c r="F67" s="2" t="n"/>
      <x:c r="G67" s="2" t="inlineStr">
        <x:is>
          <x:t xml:space="preserve">2022-07-01</x:t>
        </x:is>
      </x:c>
      <x:c r="H67" s="3" t="n"/>
      <x:c r="I67" s="4" t="n"/>
      <x:c r="J67" s="4" t="n"/>
      <x:c r="K67" s="4" t="n"/>
      <x:c r="L67" s="4" t="n">
        <x:v>128000000000</x:v>
      </x:c>
      <x:c r="M67" s="4" t="n">
        <x:v>1432000000000</x:v>
      </x:c>
      <x:c r="N67" s="4" t="n"/>
      <x:c r="O67" s="4" t="n"/>
      <x:c r="P67" s="5" t="n">
        <x:v>256</x:v>
      </x:c>
      <x:c r="Q67" s="4" t="n">
        <x:v>12870000000000</x:v>
      </x:c>
      <x:c r="R67" s="4" t="n"/>
      <x:c r="S67" s="4" t="n"/>
      <x:c r="T67" s="4" t="n"/>
      <x:c r="U67" s="4" t="n"/>
      <x:c r="V67" s="4" t="n"/>
      <x:c r="W67" s="4" t="n"/>
      <x:c r="X67" s="2" t="n"/>
      <x:c r="Y67" s="5" t="n"/>
      <x:c r="Z67" s="5" t="n"/>
      <x:c r="AA67" s="5" t="n"/>
      <x:c r="AB67" s="5" t="n"/>
      <x:c r="AC67" s="5" t="n"/>
      <x:c r="AD67" s="5" t="n"/>
      <x:c r="AE67" s="5" t="n"/>
      <x:c r="AF67" s="5" t="n"/>
      <x:c r="AG67" s="2" t="inlineStr">
        <x:is>
          <x:t xml:space="preserve">https://link.springer.com/article/10.1007/s42514-022-00095-y</x:t>
        </x:is>
      </x:c>
      <x:c r="AH67" s="2" t="n"/>
      <x:c r="AI67" s="2" t="n"/>
      <x:c r="AJ67" s="2" t="inlineStr">
        <x:is>
          <x:t xml:space="preserve">2025-07-21 09:21:04+00:00</x:t>
        </x:is>
      </x:c>
      <x:c r="AK67" s="4" t="n">
        <x:v>12870000000000</x:v>
      </x:c>
      <x:c r="AL67" s="4" t="n">
        <x:v>50273437500</x:v>
      </x:c>
      <x:c r="AM67" s="4" t="n">
        <x:v>823680000000000</x:v>
      </x:c>
      <x:c r="AN67" s="4" t="n"/>
      <x:c r="AO67" s="4" t="n">
        <x:v>12870000000000</x:v>
      </x:c>
    </x:row>
    <x:row r="68" s="9" customFormat="1" ht="28.799999237060547" customHeight="1">
      <x:c r="A68" s="2" t="inlineStr">
        <x:is>
          <x:t xml:space="preserve">Meta MTIA v2 (MTIA 200)</x:t>
        </x:is>
      </x:c>
      <x:c r="B68" s="2" t="str">
        <x:f>IFERROR(VLOOKUP(TRIM($A68),_classification_map!$A$2:$C$227,2,FALSE),"")</x:f>
        <x:v>MTIA v2</x:v>
      </x:c>
      <x:c r="C68" s="2" t="str">
        <x:f>IFERROR(VLOOKUP(TRIM($A68),_classification_map!$A$2:$C$227,3,FALSE),"")</x:f>
        <x:v>MTIA</x:v>
      </x:c>
      <x:c r="D68" s="2" t="inlineStr">
        <x:is>
          <x:t xml:space="preserve">Meta</x:t>
        </x:is>
      </x:c>
      <x:c r="E68" s="2" t="inlineStr">
        <x:is>
          <x:t xml:space="preserve">Other</x:t>
        </x:is>
      </x:c>
      <x:c r="F68" s="2" t="n"/>
      <x:c r="G68" s="2" t="inlineStr">
        <x:is>
          <x:t xml:space="preserve">2024-04-10</x:t>
        </x:is>
      </x:c>
      <x:c r="H68" s="3" t="n"/>
      <x:c r="I68" s="4" t="n">
        <x:v>177000000000000</x:v>
      </x:c>
      <x:c r="J68" s="4" t="n"/>
      <x:c r="K68" s="4" t="n"/>
      <x:c r="L68" s="4" t="n">
        <x:v>256000000</x:v>
      </x:c>
      <x:c r="M68" s="4" t="n">
        <x:v>1000000000000</x:v>
      </x:c>
      <x:c r="N68" s="4" t="n"/>
      <x:c r="O68" s="4" t="n"/>
      <x:c r="P68" s="5" t="n">
        <x:v>90</x:v>
      </x:c>
      <x:c r="Q68" s="4" t="n"/>
      <x:c r="R68" s="4" t="n">
        <x:v>2760000000000</x:v>
      </x:c>
      <x:c r="S68" s="4" t="n"/>
      <x:c r="T68" s="4" t="n"/>
      <x:c r="U68" s="4" t="n"/>
      <x:c r="V68" s="4" t="n">
        <x:v>354000000000000</x:v>
      </x:c>
      <x:c r="W68" s="4" t="n"/>
      <x:c r="X68" s="2" t="inlineStr">
        <x:is>
          <x:t xml:space="preserve">TSMC</x:t>
        </x:is>
      </x:c>
      <x:c r="Y68" s="5" t="n">
        <x:v>421</x:v>
      </x:c>
      <x:c r="Z68" s="5" t="n">
        <x:v>1350</x:v>
      </x:c>
      <x:c r="AA68" s="5" t="n"/>
      <x:c r="AB68" s="5" t="n"/>
      <x:c r="AC68" s="5" t="n"/>
      <x:c r="AD68" s="5" t="n"/>
      <x:c r="AE68" s="5" t="n">
        <x:v>5</x:v>
      </x:c>
      <x:c r="AF68" s="5" t="n"/>
      <x:c r="AG68" s="2" t="inlineStr">
        <x:is>
          <x:t xml:space="preserve">https://ai.meta.com/blog/next-generation-meta-training-inference-accelerator-AI-MTIA/</x:t>
        </x:is>
      </x:c>
      <x:c r="AH68" s="2" t="n"/>
      <x:c r="AI68" s="2" t="n"/>
      <x:c r="AJ68" s="2" t="inlineStr">
        <x:is>
          <x:t xml:space="preserve">2026-03-11 17:49:40+00:00</x:t>
        </x:is>
      </x:c>
      <x:c r="AK68" s="4" t="n">
        <x:v>354000000000000</x:v>
      </x:c>
      <x:c r="AL68" s="4" t="n">
        <x:v>3933333333333.33</x:v>
      </x:c>
      <x:c r="AM68" s="4" t="n">
        <x:v>2832000000000000</x:v>
      </x:c>
      <x:c r="AN68" s="4" t="n"/>
      <x:c r="AO68" s="4" t="n">
        <x:v>354000000000000</x:v>
      </x:c>
    </x:row>
    <x:row r="69" s="9" customFormat="1" ht="43.20000076293945" customHeight="1">
      <x:c r="A69" s="2" t="inlineStr">
        <x:is>
          <x:t xml:space="preserve">NVIDIA GeForce RTX 3090 Ti</x:t>
        </x:is>
      </x:c>
      <x:c r="B69" s="2" t="str">
        <x:f>IFERROR(VLOOKUP(TRIM($A69),_classification_map!$A$2:$C$227,2,FALSE),"")</x:f>
        <x:v>Ampere</x:v>
      </x:c>
      <x:c r="C69" s="2" t="str">
        <x:f>IFERROR(VLOOKUP(TRIM($A69),_classification_map!$A$2:$C$227,3,FALSE),"")</x:f>
        <x:v>GeForce RTX</x:v>
      </x:c>
      <x:c r="D69" s="2" t="inlineStr">
        <x:is>
          <x:t xml:space="preserve">NVIDIA</x:t>
        </x:is>
      </x:c>
      <x:c r="E69" s="2" t="inlineStr">
        <x:is>
          <x:t xml:space="preserve">GPU</x:t>
        </x:is>
      </x:c>
      <x:c r="F69" s="2" t="n"/>
      <x:c r="G69" s="2" t="inlineStr">
        <x:is>
          <x:t xml:space="preserve">2022-03-29</x:t>
        </x:is>
      </x:c>
      <x:c r="H69" s="3" t="n">
        <x:v>1999</x:v>
      </x:c>
      <x:c r="I69" s="4" t="n">
        <x:v>160000000000000</x:v>
      </x:c>
      <x:c r="J69" s="4" t="n"/>
      <x:c r="K69" s="4" t="n"/>
      <x:c r="L69" s="4" t="n">
        <x:v>24000000000</x:v>
      </x:c>
      <x:c r="M69" s="4" t="n">
        <x:v>1008000000000</x:v>
      </x:c>
      <x:c r="N69" s="4" t="n"/>
      <x:c r="O69" s="4" t="n"/>
      <x:c r="P69" s="5" t="n">
        <x:v>450</x:v>
      </x:c>
      <x:c r="Q69" s="4" t="n">
        <x:v>625000000000</x:v>
      </x:c>
      <x:c r="R69" s="4" t="n">
        <x:v>40000000000000</x:v>
      </x:c>
      <x:c r="S69" s="4" t="n">
        <x:v>40000000000000</x:v>
      </x:c>
      <x:c r="T69" s="4" t="n">
        <x:v>40000000000000</x:v>
      </x:c>
      <x:c r="U69" s="4" t="n"/>
      <x:c r="V69" s="4" t="n">
        <x:v>320000000000000</x:v>
      </x:c>
      <x:c r="W69" s="4" t="n"/>
      <x:c r="X69" s="2" t="inlineStr">
        <x:is>
          <x:t xml:space="preserve">Samsung</x:t>
        </x:is>
      </x:c>
      <x:c r="Y69" s="5" t="n">
        <x:v>628</x:v>
      </x:c>
      <x:c r="Z69" s="5" t="n">
        <x:v>1560</x:v>
      </x:c>
      <x:c r="AA69" s="5" t="n">
        <x:v>1860</x:v>
      </x:c>
      <x:c r="AB69" s="5" t="n">
        <x:v>1313</x:v>
      </x:c>
      <x:c r="AC69" s="5" t="n">
        <x:v>384</x:v>
      </x:c>
      <x:c r="AD69" s="5" t="n">
        <x:v>336</x:v>
      </x:c>
      <x:c r="AE69" s="5" t="n">
        <x:v>8</x:v>
      </x:c>
      <x:c r="AF69" s="5" t="n">
        <x:v>28300</x:v>
      </x:c>
      <x:c r="AG69" s="2" t="inlineStr">
        <x:is>
          <x:t xml:space="preserve">https://www.techpowerup.com/gpu-specs/geforce-rtx-3090-ti.c3829</x:t>
        </x:is>
      </x:c>
      <x:c r="AH69" s="2" t="inlineStr">
        <x:is>
          <x:t xml:space="preserve">https://www.wikiwand.com/en/GeForce_30_series</x:t>
        </x:is>
      </x:c>
      <x:c r="AI69" s="2" t="inlineStr">
        <x:is>
          <x:t xml:space="preserve">YOLOv10-X,pKALM,FMMformer (2-kernel fast weight + Band20),Lightweight Fine-tuning a Pretrained Protein Language Model for Protein Secondary,ControlNet (SDv2)</x:t>
        </x:is>
      </x:c>
      <x:c r="AJ69" s="2" t="inlineStr">
        <x:is>
          <x:t xml:space="preserve">2026-03-18 12:56:18+00:00</x:t>
        </x:is>
      </x:c>
      <x:c r="AK69" s="4" t="n">
        <x:v>320000000000000</x:v>
      </x:c>
      <x:c r="AL69" s="4" t="n">
        <x:v>711111111111.111</x:v>
      </x:c>
      <x:c r="AM69" s="4" t="n">
        <x:v>2560000000000000</x:v>
      </x:c>
      <x:c r="AN69" s="4" t="n">
        <x:v>160080040020.01</x:v>
      </x:c>
      <x:c r="AO69" s="4" t="n">
        <x:v>320000000000000</x:v>
      </x:c>
    </x:row>
    <x:row r="70" s="9" customFormat="1" ht="28.799999237060547" customHeight="1">
      <x:c r="A70" s="2" t="inlineStr">
        <x:is>
          <x:t xml:space="preserve">Shensuan-1</x:t>
        </x:is>
      </x:c>
      <x:c r="B70" s="2">
        <x:f>IFERROR(VLOOKUP(TRIM($A70),_classification_map!$A$2:$C$227,2,FALSE),"")</x:f>
        <x:v>1</x:v>
      </x:c>
      <x:c r="C70" s="2" t="str">
        <x:f>IFERROR(VLOOKUP(TRIM($A70),_classification_map!$A$2:$C$227,3,FALSE),"")</x:f>
        <x:v>Shensuan</x:v>
      </x:c>
      <x:c r="D70" s="2" t="inlineStr">
        <x:is>
          <x:t xml:space="preserve">Hygon</x:t>
        </x:is>
      </x:c>
      <x:c r="E70" s="2" t="inlineStr">
        <x:is>
          <x:t xml:space="preserve">DCU (GPGPU)</x:t>
        </x:is>
      </x:c>
      <x:c r="F70" s="2" t="inlineStr">
        <x:is>
          <x:t xml:space="preserve">https://pdf.dfcfw.com/pdf/H3_AP202405141633079130_1.pdf?1715720114000.pdf</x:t>
        </x:is>
      </x:c>
      <x:c r="G70" s="2" t="inlineStr">
        <x:is>
          <x:t xml:space="preserve">2021-07-01</x:t>
        </x:is>
      </x:c>
      <x:c r="H70" s="3" t="n"/>
      <x:c r="I70" s="4" t="n"/>
      <x:c r="J70" s="4" t="n"/>
      <x:c r="K70" s="4" t="n"/>
      <x:c r="L70" s="4" t="n">
        <x:v>32000000000</x:v>
      </x:c>
      <x:c r="M70" s="4" t="n">
        <x:v>1024000000000</x:v>
      </x:c>
      <x:c r="N70" s="4" t="n"/>
      <x:c r="O70" s="4" t="n"/>
      <x:c r="P70" s="5" t="n">
        <x:v>350</x:v>
      </x:c>
      <x:c r="Q70" s="4" t="n"/>
      <x:c r="R70" s="4" t="n"/>
      <x:c r="S70" s="4" t="n"/>
      <x:c r="T70" s="4" t="n">
        <x:v>24500000000000</x:v>
      </x:c>
      <x:c r="U70" s="4" t="n"/>
      <x:c r="V70" s="4" t="n"/>
      <x:c r="W70" s="4" t="n"/>
      <x:c r="X70" s="2" t="n"/>
      <x:c r="Y70" s="5" t="n"/>
      <x:c r="Z70" s="5" t="n"/>
      <x:c r="AA70" s="5" t="n"/>
      <x:c r="AB70" s="5" t="n"/>
      <x:c r="AC70" s="5" t="n"/>
      <x:c r="AD70" s="5" t="n"/>
      <x:c r="AE70" s="5" t="n">
        <x:v>7</x:v>
      </x:c>
      <x:c r="AF70" s="5" t="n"/>
      <x:c r="AG70" s="2" t="inlineStr">
        <x:is>
          <x:t xml:space="preserve">https://hk-official.cmbi.info/upload/b678e2ea-ba52-47b7-bc97-893d2bfdd36d.pdf</x:t>
        </x:is>
      </x:c>
      <x:c r="AH70" s="2" t="n"/>
      <x:c r="AI70" s="2" t="n"/>
      <x:c r="AJ70" s="2" t="inlineStr">
        <x:is>
          <x:t xml:space="preserve">2025-07-21 09:21:22+00:00</x:t>
        </x:is>
      </x:c>
      <x:c r="AK70" s="4" t="n">
        <x:v>24500000000000</x:v>
      </x:c>
      <x:c r="AL70" s="4" t="n">
        <x:v>70000000000</x:v>
      </x:c>
      <x:c r="AM70" s="4" t="n">
        <x:v>392000000000000</x:v>
      </x:c>
      <x:c r="AN70" s="4" t="n"/>
      <x:c r="AO70" s="4" t="n">
        <x:v>24500000000000</x:v>
      </x:c>
    </x:row>
    <x:row r="71" s="9" customFormat="1" ht="28.799999237060547" customHeight="1">
      <x:c r="A71" s="2" t="inlineStr">
        <x:is>
          <x:t xml:space="preserve">NVIDIA Tesla V100S PCIe 32 GB</x:t>
        </x:is>
      </x:c>
      <x:c r="B71" s="2" t="str">
        <x:f>IFERROR(VLOOKUP(TRIM($A71),_classification_map!$A$2:$C$227,2,FALSE),"")</x:f>
        <x:v>Volta</x:v>
      </x:c>
      <x:c r="C71" s="2" t="str">
        <x:f>IFERROR(VLOOKUP(TRIM($A71),_classification_map!$A$2:$C$227,3,FALSE),"")</x:f>
        <x:v>Tesla</x:v>
      </x:c>
      <x:c r="D71" s="2" t="inlineStr">
        <x:is>
          <x:t xml:space="preserve">NVIDIA</x:t>
        </x:is>
      </x:c>
      <x:c r="E71" s="2" t="inlineStr">
        <x:is>
          <x:t xml:space="preserve">GPU</x:t>
        </x:is>
      </x:c>
      <x:c r="F71" s="2" t="n"/>
      <x:c r="G71" s="2" t="inlineStr">
        <x:is>
          <x:t xml:space="preserve">2019-11-26</x:t>
        </x:is>
      </x:c>
      <x:c r="H71" s="3" t="n"/>
      <x:c r="I71" s="4" t="n">
        <x:v>130000000000000</x:v>
      </x:c>
      <x:c r="J71" s="4" t="n"/>
      <x:c r="K71" s="4" t="n"/>
      <x:c r="L71" s="4" t="n">
        <x:v>32000000000</x:v>
      </x:c>
      <x:c r="M71" s="4" t="n">
        <x:v>1130000000000</x:v>
      </x:c>
      <x:c r="N71" s="4" t="n">
        <x:v>32000000000</x:v>
      </x:c>
      <x:c r="O71" s="4" t="n">
        <x:v>100000000000</x:v>
      </x:c>
      <x:c r="P71" s="5" t="n">
        <x:v>250</x:v>
      </x:c>
      <x:c r="Q71" s="4" t="n">
        <x:v>8177000000000</x:v>
      </x:c>
      <x:c r="R71" s="4" t="n">
        <x:v>16350000000000</x:v>
      </x:c>
      <x:c r="S71" s="4" t="n"/>
      <x:c r="T71" s="4" t="n">
        <x:v>32710000000000</x:v>
      </x:c>
      <x:c r="U71" s="4" t="n"/>
      <x:c r="V71" s="4" t="n"/>
      <x:c r="W71" s="4" t="n"/>
      <x:c r="X71" s="2" t="inlineStr">
        <x:is>
          <x:t xml:space="preserve">TSMC</x:t>
        </x:is>
      </x:c>
      <x:c r="Y71" s="5" t="n">
        <x:v>815</x:v>
      </x:c>
      <x:c r="Z71" s="5" t="n">
        <x:v>1245</x:v>
      </x:c>
      <x:c r="AA71" s="5" t="n">
        <x:v>1597</x:v>
      </x:c>
      <x:c r="AB71" s="5" t="n"/>
      <x:c r="AC71" s="5" t="n">
        <x:v>4096</x:v>
      </x:c>
      <x:c r="AD71" s="5" t="n">
        <x:v>640</x:v>
      </x:c>
      <x:c r="AE71" s="5" t="n">
        <x:v>12</x:v>
      </x:c>
      <x:c r="AF71" s="5" t="n">
        <x:v>21100</x:v>
      </x:c>
      <x:c r="AG71" s="2" t="inlineStr">
        <x:is>
          <x:t xml:space="preserve">https://www.techpowerup.com/gpu-specs/tesla-v100s-pcie-32-gb.c3467</x:t>
        </x:is>
      </x:c>
      <x:c r="AH71" s="2" t="n"/>
      <x:c r="AI71" s="2" t="inlineStr">
        <x:is>
          <x:t xml:space="preserve">ConSERT,Megatron-BERT</x:t>
        </x:is>
      </x:c>
      <x:c r="AJ71" s="2" t="inlineStr">
        <x:is>
          <x:t xml:space="preserve">2026-03-18 12:56:18+00:00</x:t>
        </x:is>
      </x:c>
      <x:c r="AK71" s="4" t="n">
        <x:v>130000000000000</x:v>
      </x:c>
      <x:c r="AL71" s="4" t="n">
        <x:v>520000000000</x:v>
      </x:c>
      <x:c r="AM71" s="4" t="n">
        <x:v>2080000000000000</x:v>
      </x:c>
      <x:c r="AN71" s="4" t="n"/>
      <x:c r="AO71" s="4" t="n">
        <x:v>130000000000000</x:v>
      </x:c>
    </x:row>
    <x:row r="72" s="9" customFormat="1" ht="388.79998779296875" customHeight="1">
      <x:c r="A72" s="2" t="inlineStr">
        <x:is>
          <x:t xml:space="preserve">Google TPU v4</x:t>
        </x:is>
      </x:c>
      <x:c r="B72" s="2" t="str">
        <x:f>IFERROR(VLOOKUP(TRIM($A72),_classification_map!$A$2:$C$227,2,FALSE),"")</x:f>
        <x:v>TPU v4</x:v>
      </x:c>
      <x:c r="C72" s="2" t="str">
        <x:f>IFERROR(VLOOKUP(TRIM($A72),_classification_map!$A$2:$C$227,3,FALSE),"")</x:f>
        <x:v>TPU</x:v>
      </x:c>
      <x:c r="D72" s="2" t="inlineStr">
        <x:is>
          <x:t xml:space="preserve">Google</x:t>
        </x:is>
      </x:c>
      <x:c r="E72" s="2" t="inlineStr">
        <x:is>
          <x:t xml:space="preserve">TPU</x:t>
        </x:is>
      </x:c>
      <x:c r="F72" s="2" t="inlineStr">
        <x:is>
          <x:t xml:space="preserve">Google does not officially state TPUv4’s TDP. 
In the blog post announcing TPUv7 (https://blog.google/products/google-cloud/ironwood-tpu-age-of-inference/), Google disclosed that TPUv4 is 4.9x more efficient than the TPUv2 in peak FLOP/s per TDP (measuring peak FLOP/s as either FP8 or bf16 FLOP/s when FP8 is not supported). 
TPUv2 does 46 TFLOP/s peak and has a TDP of 280 W.
TPUv4 does 275 TFLOP/s peak. So the TPUv4’s TDP is (275 TFLOP/s  / 46 TFLOP/s) * 280 W / 4.9x efficiency = ~342 W. Note that this may be a slightly approximate figure due to rounding on Google’s part. For example, applying this method to TPUv3 (using Google’s stated efficiency improvement in the TPUv7 blog) yields a TDP of 416 W, lower than Google’s disclosed TDP of 450 W for v3. We round to 340 W.
Google also lists "measured max power" of 192 W: https://docs.cloud.google.com/tpu/docs/v4
However, for TPUv3 the corresponding measured max of 262 W is lower than the v3's TDP of 450 W.</x:t>
        </x:is>
      </x:c>
      <x:c r="G72" s="2" t="inlineStr">
        <x:is>
          <x:t xml:space="preserve">2021-05-20</x:t>
        </x:is>
      </x:c>
      <x:c r="H72" s="3" t="n"/>
      <x:c r="I72" s="4" t="n">
        <x:v>275000000000000</x:v>
      </x:c>
      <x:c r="J72" s="4" t="n"/>
      <x:c r="K72" s="4" t="n"/>
      <x:c r="L72" s="4" t="n">
        <x:v>32000000000</x:v>
      </x:c>
      <x:c r="M72" s="4" t="n">
        <x:v>1200000000000</x:v>
      </x:c>
      <x:c r="N72" s="4" t="n"/>
      <x:c r="O72" s="4" t="n"/>
      <x:c r="P72" s="5" t="n">
        <x:v>340</x:v>
      </x:c>
      <x:c r="Q72" s="4" t="n"/>
      <x:c r="R72" s="4" t="n"/>
      <x:c r="S72" s="4" t="n"/>
      <x:c r="T72" s="4" t="n"/>
      <x:c r="U72" s="4" t="n"/>
      <x:c r="V72" s="4" t="n">
        <x:v>275000000000000</x:v>
      </x:c>
      <x:c r="W72" s="4" t="n"/>
      <x:c r="X72" s="2" t="n"/>
      <x:c r="Y72" s="5" t="n"/>
      <x:c r="Z72" s="5" t="n"/>
      <x:c r="AA72" s="5" t="n"/>
      <x:c r="AB72" s="5" t="n"/>
      <x:c r="AC72" s="5" t="n"/>
      <x:c r="AD72" s="5" t="n"/>
      <x:c r="AE72" s="5" t="n">
        <x:v>7</x:v>
      </x:c>
      <x:c r="AF72" s="5" t="n"/>
      <x:c r="AG72" s="2" t="inlineStr">
        <x:is>
          <x:t xml:space="preserve">https://cloud.google.com/tpu/docs/system-architecture-tpu-vm</x:t>
        </x:is>
      </x:c>
      <x:c r="AH72" s="2" t="inlineStr">
        <x:is>
          <x:t xml:space="preserve">https://technical.city/en/video/GeForce-GTX-580</x:t>
        </x:is>
      </x:c>
      <x:c r="AI72" s="2" t="inlineStr">
        <x:is>
          <x:t xml:space="preserve">Flamingo,GLaM,CodeGen-Mono 16.1B,Ankh_large,Cohere Command,CoCa,PaLI,BASIC-L,XGen-7B,PaLM 2,Minerva (540B),UniPi,PaLM (540B),Chinchilla,AlphaCode,OpenLLaMA-13B,Gemini 1.0 Ultra,GNoME for crystal discovery,U-PaLM (540B),Ankh_base,AudioLM,Parti,Flan-PaLM 540B,Flan-T5 11B,Aya,Unified-IO (XL),Cohere Command Light,ViT-22B,Gemini 1.0 Pro,UL2,Imagen,Gemini 1.5 Flash,Gemma 2 9B,AFM-server,GenMS,Imagen 3,Med-Gemini-2D,Med-Gemini-3D,Med-Gemini-M 1.5,SigLIP 400M,SigLiT,Gemini 1.5 Flash 8B,Gemini 1.5 Pro,Gemma 3 12B,Gemini Robotics,LLPS,Octo-Base,Octo-Small,Cambrian-1-34B,Cambrian-1-13B,Cambrian-1-8B,ProtBFN,TxGemma 2B,TxGemma 9B,TxGemma 27B,SILC-S* (86M),Gemini Robotics-ER,Marin 8B,Primer (GPT-3 XL-like 1.9B),LIMoE-H/14,AlphaEarth Foundations (AEF),Gemini Robotics-ER 1.5,Gemini Robotics 1.5 ,C2S-Scale</x:t>
        </x:is>
      </x:c>
      <x:c r="AJ72" s="2" t="inlineStr">
        <x:is>
          <x:t xml:space="preserve">2026-03-18 18:59:43+00:00</x:t>
        </x:is>
      </x:c>
      <x:c r="AK72" s="4" t="n">
        <x:v>275000000000000</x:v>
      </x:c>
      <x:c r="AL72" s="4" t="n">
        <x:v>808823529411.765</x:v>
      </x:c>
      <x:c r="AM72" s="4" t="n">
        <x:v>4400000000000000</x:v>
      </x:c>
      <x:c r="AN72" s="4" t="n"/>
      <x:c r="AO72" s="4" t="n">
        <x:v>275000000000000</x:v>
      </x:c>
    </x:row>
    <x:row r="73" s="9" customFormat="1" ht="302.3999938964844" customHeight="1">
      <x:c r="A73" s="2" t="inlineStr">
        <x:is>
          <x:t xml:space="preserve">Huawei Ascend 910B</x:t>
        </x:is>
      </x:c>
      <x:c r="B73" s="2" t="str">
        <x:f>IFERROR(VLOOKUP(TRIM($A73),_classification_map!$A$2:$C$227,2,FALSE),"")</x:f>
        <x:v>Ascend 910B</x:v>
      </x:c>
      <x:c r="C73" s="2" t="str">
        <x:f>IFERROR(VLOOKUP(TRIM($A73),_classification_map!$A$2:$C$227,3,FALSE),"")</x:f>
        <x:v>Ascend</x:v>
      </x:c>
      <x:c r="D73" s="2" t="inlineStr">
        <x:is>
          <x:t xml:space="preserve">Huawei</x:t>
        </x:is>
      </x:c>
      <x:c r="E73" s="2" t="inlineStr">
        <x:is>
          <x:t xml:space="preserve">GPU</x:t>
        </x:is>
      </x:c>
      <x:c r="F73" s="2" t="n"/>
      <x:c r="G73" s="2" t="inlineStr">
        <x:is>
          <x:t xml:space="preserve">2022-03-17</x:t>
        </x:is>
      </x:c>
      <x:c r="H73" s="3" t="n">
        <x:v>16854</x:v>
      </x:c>
      <x:c r="I73" s="4" t="n"/>
      <x:c r="J73" s="4" t="n"/>
      <x:c r="K73" s="4" t="n"/>
      <x:c r="L73" s="4" t="n">
        <x:v>32000000000</x:v>
      </x:c>
      <x:c r="M73" s="4" t="n">
        <x:v>1228000000000</x:v>
      </x:c>
      <x:c r="N73" s="4" t="n">
        <x:v>392000000000</x:v>
      </x:c>
      <x:c r="O73" s="4" t="n"/>
      <x:c r="P73" s="5" t="n">
        <x:v>400</x:v>
      </x:c>
      <x:c r="Q73" s="4" t="n"/>
      <x:c r="R73" s="4" t="n">
        <x:v>94000000000000</x:v>
      </x:c>
      <x:c r="S73" s="4" t="n"/>
      <x:c r="T73" s="4" t="n">
        <x:v>376000000000000</x:v>
      </x:c>
      <x:c r="U73" s="4" t="n"/>
      <x:c r="V73" s="4" t="n"/>
      <x:c r="W73" s="4" t="n"/>
      <x:c r="X73" s="2" t="inlineStr">
        <x:is>
          <x:t xml:space="preserve">SMIC</x:t>
        </x:is>
      </x:c>
      <x:c r="Y73" s="5" t="n"/>
      <x:c r="Z73" s="5" t="n"/>
      <x:c r="AA73" s="5" t="n"/>
      <x:c r="AB73" s="5" t="n">
        <x:v>900</x:v>
      </x:c>
      <x:c r="AC73" s="5" t="n"/>
      <x:c r="AD73" s="5" t="n"/>
      <x:c r="AE73" s="5" t="n">
        <x:v>7</x:v>
      </x:c>
      <x:c r="AF73" s="5" t="n"/>
      <x:c r="AG73" s="2" t="inlineStr">
        <x:is>
          <x:t xml:space="preserve">https://archive.ph/cF945
https://cset.georgetown.edu/publication/pushing-the-limits-huaweis-ai-chip-tests-u-s-export-controls/#:~:text=Ascend%20910%20models%20range%20from,specially%20designed%20for%20AI%20operations
https://www.trendforce.com/news/2024/06/11/news-huaweis-self-developed-ai-chip-challenges-nvidia-boasting-its-ascend-910b-to-be-equal-in-match-with-a100/
different sources report different performance (376 TFLOPS vs 220 TFLOPS vs 320 TFLOPS)
as for release date - the earliest mentioning I found is March, 17 2022 (https://r.huaweistatic.com/s/ascendstatic/lst/files/pdf/PR425KI.pdf)
energy source: https://arthurchiao.art/blog/gpu-data-sheets/
</x:t>
        </x:is>
      </x:c>
      <x:c r="AH73" s="2" t="inlineStr">
        <x:is>
          <x:t xml:space="preserve">https://www.trendforce.com/news/2024/06/11/news-huaweis-self-developed-ai-chip-challenges-nvidia-boasting-its-ascend-910b-to-be-equal-in-match-with-a100/
120,000 yuan = 16800 USD at mid-2023 rate of 0.14 yuan per dollar.</x:t>
        </x:is>
      </x:c>
      <x:c r="AI73" s="2" t="inlineStr">
        <x:is>
          <x:t xml:space="preserve">Pangu Ultra,Pangu Ultra MoE,Spark-X1</x:t>
        </x:is>
      </x:c>
      <x:c r="AJ73" s="2" t="inlineStr">
        <x:is>
          <x:t xml:space="preserve">2026-03-18 12:56:18+00:00</x:t>
        </x:is>
      </x:c>
      <x:c r="AK73" s="4" t="n">
        <x:v>376000000000000</x:v>
      </x:c>
      <x:c r="AL73" s="4" t="n">
        <x:v>940000000000</x:v>
      </x:c>
      <x:c r="AM73" s="4" t="n">
        <x:v>6016000000000000</x:v>
      </x:c>
      <x:c r="AN73" s="4" t="n">
        <x:v>22309244096.3569</x:v>
      </x:c>
      <x:c r="AO73" s="4" t="n">
        <x:v>376000000000000</x:v>
      </x:c>
    </x:row>
    <x:row r="74" s="9" customFormat="1" ht="43.20000076293945" customHeight="1">
      <x:c r="A74" s="2" t="inlineStr">
        <x:is>
          <x:t xml:space="preserve">Cambricon MLU290-M5</x:t>
        </x:is>
      </x:c>
      <x:c r="B74" s="2" t="str">
        <x:f>IFERROR(VLOOKUP(TRIM($A74),_classification_map!$A$2:$C$227,2,FALSE),"")</x:f>
        <x:v>MLU290</x:v>
      </x:c>
      <x:c r="C74" s="2" t="str">
        <x:f>IFERROR(VLOOKUP(TRIM($A74),_classification_map!$A$2:$C$227,3,FALSE),"")</x:f>
        <x:v>MLU</x:v>
      </x:c>
      <x:c r="D74" s="2" t="inlineStr">
        <x:is>
          <x:t xml:space="preserve">Cambricon</x:t>
        </x:is>
      </x:c>
      <x:c r="E74" s="2" t="n"/>
      <x:c r="F74" s="2" t="inlineStr">
        <x:is>
          <x:t xml:space="preserve">https://www.cambricon.com/index.php?m=content&amp;c=index&amp;a=lists&amp;catid=340
https://archive.ph/i32rD</x:t>
        </x:is>
      </x:c>
      <x:c r="G74" s="2" t="inlineStr">
        <x:is>
          <x:t xml:space="preserve">2021-01-21</x:t>
        </x:is>
      </x:c>
      <x:c r="H74" s="3" t="n"/>
      <x:c r="I74" s="4" t="n"/>
      <x:c r="J74" s="4" t="n"/>
      <x:c r="K74" s="4" t="n"/>
      <x:c r="L74" s="4" t="n">
        <x:v>32000000000</x:v>
      </x:c>
      <x:c r="M74" s="4" t="n">
        <x:v>1228000000000</x:v>
      </x:c>
      <x:c r="N74" s="4" t="n"/>
      <x:c r="O74" s="4" t="n"/>
      <x:c r="P74" s="5" t="n">
        <x:v>350</x:v>
      </x:c>
      <x:c r="Q74" s="4" t="n"/>
      <x:c r="R74" s="4" t="n"/>
      <x:c r="S74" s="4" t="n"/>
      <x:c r="T74" s="4" t="n"/>
      <x:c r="U74" s="4" t="n">
        <x:v>256000000000000</x:v>
      </x:c>
      <x:c r="V74" s="4" t="n">
        <x:v>512000000000000</x:v>
      </x:c>
      <x:c r="W74" s="4" t="n"/>
      <x:c r="X74" s="2" t="n"/>
      <x:c r="Y74" s="5" t="n">
        <x:v>560</x:v>
      </x:c>
      <x:c r="Z74" s="5" t="n"/>
      <x:c r="AA74" s="5" t="n"/>
      <x:c r="AB74" s="5" t="n"/>
      <x:c r="AC74" s="5" t="n"/>
      <x:c r="AD74" s="5" t="n"/>
      <x:c r="AE74" s="5" t="n">
        <x:v>7</x:v>
      </x:c>
      <x:c r="AF74" s="5" t="n"/>
      <x:c r="AG74" s="2" t="inlineStr">
        <x:is>
          <x:t xml:space="preserve">https://perma.cc/CSV7-UNPP</x:t>
        </x:is>
      </x:c>
      <x:c r="AH74" s="2" t="n"/>
      <x:c r="AI74" s="2" t="n"/>
      <x:c r="AJ74" s="2" t="inlineStr">
        <x:is>
          <x:t xml:space="preserve">2026-01-14 11:34:15+00:00</x:t>
        </x:is>
      </x:c>
      <x:c r="AK74" s="4" t="n">
        <x:v>512000000000000</x:v>
      </x:c>
      <x:c r="AL74" s="4" t="n">
        <x:v>1462857142857.14</x:v>
      </x:c>
      <x:c r="AM74" s="4" t="n">
        <x:v>4096000000000000</x:v>
      </x:c>
      <x:c r="AN74" s="4" t="n"/>
      <x:c r="AO74" s="4" t="n">
        <x:v>512000000000000</x:v>
      </x:c>
    </x:row>
    <x:row r="75" s="9" customFormat="1" ht="57.599998474121094" customHeight="1">
      <x:c r="A75" s="2" t="inlineStr">
        <x:is>
          <x:t xml:space="preserve">Huawei Ascend 910B Pro</x:t>
        </x:is>
      </x:c>
      <x:c r="B75" s="2" t="str">
        <x:f>IFERROR(VLOOKUP(TRIM($A75),_classification_map!$A$2:$C$227,2,FALSE),"")</x:f>
        <x:v>Ascend 910B</x:v>
      </x:c>
      <x:c r="C75" s="2" t="str">
        <x:f>IFERROR(VLOOKUP(TRIM($A75),_classification_map!$A$2:$C$227,3,FALSE),"")</x:f>
        <x:v>Ascend</x:v>
      </x:c>
      <x:c r="D75" s="2" t="inlineStr">
        <x:is>
          <x:t xml:space="preserve">Huawei</x:t>
        </x:is>
      </x:c>
      <x:c r="E75" s="2" t="inlineStr">
        <x:is>
          <x:t xml:space="preserve">GPU</x:t>
        </x:is>
      </x:c>
      <x:c r="F75" s="2" t="n"/>
      <x:c r="G75" s="2" t="n"/>
      <x:c r="H75" s="3" t="n"/>
      <x:c r="I75" s="4" t="n"/>
      <x:c r="J75" s="4" t="n"/>
      <x:c r="K75" s="4" t="n"/>
      <x:c r="L75" s="4" t="n">
        <x:v>32000000000</x:v>
      </x:c>
      <x:c r="M75" s="4" t="n">
        <x:v>1228000000000</x:v>
      </x:c>
      <x:c r="N75" s="4" t="n"/>
      <x:c r="O75" s="4" t="n"/>
      <x:c r="P75" s="5" t="n"/>
      <x:c r="Q75" s="4" t="n"/>
      <x:c r="R75" s="4" t="n"/>
      <x:c r="S75" s="4" t="n"/>
      <x:c r="T75" s="4" t="n">
        <x:v>280000000000000</x:v>
      </x:c>
      <x:c r="U75" s="4" t="n"/>
      <x:c r="V75" s="4" t="n"/>
      <x:c r="W75" s="4" t="n"/>
      <x:c r="X75" s="2" t="inlineStr">
        <x:is>
          <x:t xml:space="preserve">SMIC</x:t>
        </x:is>
      </x:c>
      <x:c r="Y75" s="5" t="n"/>
      <x:c r="Z75" s="5" t="n"/>
      <x:c r="AA75" s="5" t="n"/>
      <x:c r="AB75" s="5" t="n">
        <x:v>1150</x:v>
      </x:c>
      <x:c r="AC75" s="5" t="n"/>
      <x:c r="AD75" s="5" t="n"/>
      <x:c r="AE75" s="5" t="n">
        <x:v>7</x:v>
      </x:c>
      <x:c r="AF75" s="5" t="n"/>
      <x:c r="AG75" s="2" t="inlineStr">
        <x:is>
          <x:t xml:space="preserve">https://cset.georgetown.edu/publication/pushing-the-limits-huaweis-ai-chip-tests-u-s-export-controls/#:~:text=Ascend%20910%20models%20range%20from,specially%20designed%20for%20AI%20operations</x:t>
        </x:is>
      </x:c>
      <x:c r="AH75" s="2" t="n"/>
      <x:c r="AI75" s="2" t="n"/>
      <x:c r="AJ75" s="2" t="inlineStr">
        <x:is>
          <x:t xml:space="preserve">2025-07-21 10:16:59+00:00</x:t>
        </x:is>
      </x:c>
      <x:c r="AK75" s="4" t="n">
        <x:v>280000000000000</x:v>
      </x:c>
      <x:c r="AL75" s="4" t="n"/>
      <x:c r="AM75" s="4" t="n">
        <x:v>4480000000000000</x:v>
      </x:c>
      <x:c r="AN75" s="4" t="n"/>
      <x:c r="AO75" s="4" t="n">
        <x:v>280000000000000</x:v>
      </x:c>
    </x:row>
    <x:row r="76" s="9" customFormat="1" ht="28.799999237060547" customHeight="1">
      <x:c r="A76" s="2" t="inlineStr">
        <x:is>
          <x:t xml:space="preserve">Intel Data Center GPU Max 1100</x:t>
        </x:is>
      </x:c>
      <x:c r="B76" s="2" t="str">
        <x:f>IFERROR(VLOOKUP(TRIM($A76),_classification_map!$A$2:$C$227,2,FALSE),"")</x:f>
        <x:v>Ponte Vecchio</x:v>
      </x:c>
      <x:c r="C76" s="2" t="str">
        <x:f>IFERROR(VLOOKUP(TRIM($A76),_classification_map!$A$2:$C$227,3,FALSE),"")</x:f>
        <x:v>Data Center GPU Max</x:v>
      </x:c>
      <x:c r="D76" s="2" t="inlineStr">
        <x:is>
          <x:t xml:space="preserve">Intel</x:t>
        </x:is>
      </x:c>
      <x:c r="E76" s="2" t="inlineStr">
        <x:is>
          <x:t xml:space="preserve">GPU</x:t>
        </x:is>
      </x:c>
      <x:c r="F76" s="2" t="n"/>
      <x:c r="G76" s="2" t="inlineStr">
        <x:is>
          <x:t xml:space="preserve">2023-01-10</x:t>
        </x:is>
      </x:c>
      <x:c r="H76" s="3" t="n"/>
      <x:c r="I76" s="4" t="n">
        <x:v>419500000000000</x:v>
      </x:c>
      <x:c r="J76" s="4" t="n"/>
      <x:c r="K76" s="4" t="n"/>
      <x:c r="L76" s="4" t="n">
        <x:v>48000000000</x:v>
      </x:c>
      <x:c r="M76" s="4" t="n">
        <x:v>1230000000000</x:v>
      </x:c>
      <x:c r="N76" s="4" t="n"/>
      <x:c r="O76" s="4" t="n"/>
      <x:c r="P76" s="5" t="n">
        <x:v>300</x:v>
      </x:c>
      <x:c r="Q76" s="4" t="n"/>
      <x:c r="R76" s="4" t="n">
        <x:v>22220000000000</x:v>
      </x:c>
      <x:c r="S76" s="4" t="n"/>
      <x:c r="T76" s="4" t="n">
        <x:v>22220000000000</x:v>
      </x:c>
      <x:c r="U76" s="4" t="n"/>
      <x:c r="V76" s="4" t="n"/>
      <x:c r="W76" s="4" t="n"/>
      <x:c r="X76" s="2" t="inlineStr">
        <x:is>
          <x:t xml:space="preserve">Intel</x:t>
        </x:is>
      </x:c>
      <x:c r="Y76" s="5" t="n">
        <x:v>1280</x:v>
      </x:c>
      <x:c r="Z76" s="5" t="n">
        <x:v>1000</x:v>
      </x:c>
      <x:c r="AA76" s="5" t="n">
        <x:v>1550</x:v>
      </x:c>
      <x:c r="AB76" s="5" t="n">
        <x:v>600</x:v>
      </x:c>
      <x:c r="AC76" s="5" t="n">
        <x:v>8192</x:v>
      </x:c>
      <x:c r="AD76" s="5" t="n">
        <x:v>448</x:v>
      </x:c>
      <x:c r="AE76" s="5" t="n">
        <x:v>10</x:v>
      </x:c>
      <x:c r="AF76" s="5" t="n">
        <x:v>100000</x:v>
      </x:c>
      <x:c r="AG76" s="2" t="inlineStr">
        <x:is>
          <x:t xml:space="preserve">https://www.techpowerup.com/gpu-specs/data-center-gpu-max-1100.c4066</x:t>
        </x:is>
      </x:c>
      <x:c r="AH76" s="2" t="n"/>
      <x:c r="AI76" s="2" t="n"/>
      <x:c r="AJ76" s="2" t="inlineStr">
        <x:is>
          <x:t xml:space="preserve">2025-07-21 09:20:35+00:00</x:t>
        </x:is>
      </x:c>
      <x:c r="AK76" s="4" t="n">
        <x:v>22220000000000</x:v>
      </x:c>
      <x:c r="AL76" s="4" t="n">
        <x:v>74066666666.6667</x:v>
      </x:c>
      <x:c r="AM76" s="4" t="n">
        <x:v>711040000000000</x:v>
      </x:c>
      <x:c r="AN76" s="4" t="n"/>
      <x:c r="AO76" s="4" t="n">
        <x:v>22220000000000</x:v>
      </x:c>
    </x:row>
    <x:row r="77" s="9" customFormat="1" ht="216" customHeight="1">
      <x:c r="A77" s="2" t="inlineStr">
        <x:is>
          <x:t xml:space="preserve">Huawei Ascend 910A</x:t>
        </x:is>
      </x:c>
      <x:c r="B77" s="2" t="str">
        <x:f>IFERROR(VLOOKUP(TRIM($A77),_classification_map!$A$2:$C$227,2,FALSE),"")</x:f>
        <x:v>Ascend 910A</x:v>
      </x:c>
      <x:c r="C77" s="2" t="str">
        <x:f>IFERROR(VLOOKUP(TRIM($A77),_classification_map!$A$2:$C$227,3,FALSE),"")</x:f>
        <x:v>Ascend</x:v>
      </x:c>
      <x:c r="D77" s="2" t="inlineStr">
        <x:is>
          <x:t xml:space="preserve">Huawei</x:t>
        </x:is>
      </x:c>
      <x:c r="E77" s="2" t="inlineStr">
        <x:is>
          <x:t xml:space="preserve">GPU</x:t>
        </x:is>
      </x:c>
      <x:c r="F77" s="2" t="inlineStr">
        <x:is>
          <x:t xml:space="preserve">Source for power: https://www.huawei.com/au/news/au/2019/huawei-launches-ascend-910-the-worlds-most-powerful-ai-processor
"For half-precision floating point (FP16) operations, Ascend 910 delivers 256 TeraFLOPS. For integer precision calculations (INT8), it delivers 512 TeraOPS. Despite its unrivaled performance, Ascend 910's max power consumption is only 310W, much lower than its planned specs (350W)."
Source for bandwidth: https://support.huawei.com/enterprise/en/doc/EDOC1100141955/3cf58244/technical-specifications</x:t>
        </x:is>
      </x:c>
      <x:c r="G77" s="2" t="inlineStr">
        <x:is>
          <x:t xml:space="preserve">2019-08-23</x:t>
        </x:is>
      </x:c>
      <x:c r="H77" s="3" t="n"/>
      <x:c r="I77" s="4" t="n"/>
      <x:c r="J77" s="4" t="n"/>
      <x:c r="K77" s="4" t="n"/>
      <x:c r="L77" s="4" t="n">
        <x:v>32000000000</x:v>
      </x:c>
      <x:c r="M77" s="4" t="n">
        <x:v>1288000000000</x:v>
      </x:c>
      <x:c r="N77" s="4" t="n">
        <x:v>270000000000</x:v>
      </x:c>
      <x:c r="O77" s="4" t="n"/>
      <x:c r="P77" s="5" t="n">
        <x:v>310</x:v>
      </x:c>
      <x:c r="Q77" s="4" t="n"/>
      <x:c r="R77" s="4" t="n"/>
      <x:c r="S77" s="4" t="n"/>
      <x:c r="T77" s="4" t="n">
        <x:v>256000000000000</x:v>
      </x:c>
      <x:c r="U77" s="4" t="n"/>
      <x:c r="V77" s="4" t="n"/>
      <x:c r="W77" s="4" t="n"/>
      <x:c r="X77" s="2" t="n"/>
      <x:c r="Y77" s="5" t="n"/>
      <x:c r="Z77" s="5" t="n"/>
      <x:c r="AA77" s="5" t="n"/>
      <x:c r="AB77" s="5" t="n"/>
      <x:c r="AC77" s="5" t="n"/>
      <x:c r="AD77" s="5" t="n"/>
      <x:c r="AE77" s="5" t="n">
        <x:v>7</x:v>
      </x:c>
      <x:c r="AF77" s="5" t="n"/>
      <x:c r="AG77" s="2" t="inlineStr">
        <x:is>
          <x:t xml:space="preserve">https://www.sciencedirect.com/science/article/pii/S0743731524000480</x:t>
        </x:is>
      </x:c>
      <x:c r="AH77" s="2" t="n"/>
      <x:c r="AI77" s="2" t="n"/>
      <x:c r="AJ77" s="2" t="inlineStr">
        <x:is>
          <x:t xml:space="preserve">2025-10-10 16:01:02+00:00</x:t>
        </x:is>
      </x:c>
      <x:c r="AK77" s="4" t="n">
        <x:v>256000000000000</x:v>
      </x:c>
      <x:c r="AL77" s="4" t="n">
        <x:v>825806451612.903</x:v>
      </x:c>
      <x:c r="AM77" s="4" t="n">
        <x:v>4096000000000000</x:v>
      </x:c>
      <x:c r="AN77" s="4" t="n"/>
      <x:c r="AO77" s="4" t="n">
        <x:v>256000000000000</x:v>
      </x:c>
    </x:row>
    <x:row r="78" s="9" customFormat="1" ht="28.799999237060547" customHeight="1">
      <x:c r="A78" s="2" t="inlineStr">
        <x:is>
          <x:t xml:space="preserve">Huawei Ascend 910A Pro</x:t>
        </x:is>
      </x:c>
      <x:c r="B78" s="2" t="str">
        <x:f>IFERROR(VLOOKUP(TRIM($A78),_classification_map!$A$2:$C$227,2,FALSE),"")</x:f>
        <x:v>Ascend 910A</x:v>
      </x:c>
      <x:c r="C78" s="2" t="str">
        <x:f>IFERROR(VLOOKUP(TRIM($A78),_classification_map!$A$2:$C$227,3,FALSE),"")</x:f>
        <x:v>Ascend</x:v>
      </x:c>
      <x:c r="D78" s="2" t="inlineStr">
        <x:is>
          <x:t xml:space="preserve">Huawei</x:t>
        </x:is>
      </x:c>
      <x:c r="E78" s="2" t="inlineStr">
        <x:is>
          <x:t xml:space="preserve">GPU</x:t>
        </x:is>
      </x:c>
      <x:c r="F78" s="2" t="n"/>
      <x:c r="G78" s="2" t="inlineStr">
        <x:is>
          <x:t xml:space="preserve">2019-08-23</x:t>
        </x:is>
      </x:c>
      <x:c r="H78" s="3" t="n"/>
      <x:c r="I78" s="4" t="n"/>
      <x:c r="J78" s="4" t="n"/>
      <x:c r="K78" s="4" t="n"/>
      <x:c r="L78" s="4" t="n">
        <x:v>32000000000</x:v>
      </x:c>
      <x:c r="M78" s="4" t="n">
        <x:v>1288000000000</x:v>
      </x:c>
      <x:c r="N78" s="4" t="n"/>
      <x:c r="O78" s="4" t="n"/>
      <x:c r="P78" s="5" t="n"/>
      <x:c r="Q78" s="4" t="n"/>
      <x:c r="R78" s="4" t="n"/>
      <x:c r="S78" s="4" t="n"/>
      <x:c r="T78" s="4" t="n">
        <x:v>288000000000000</x:v>
      </x:c>
      <x:c r="U78" s="4" t="n"/>
      <x:c r="V78" s="4" t="n"/>
      <x:c r="W78" s="4" t="n"/>
      <x:c r="X78" s="2" t="n"/>
      <x:c r="Y78" s="5" t="n"/>
      <x:c r="Z78" s="5" t="n"/>
      <x:c r="AA78" s="5" t="n"/>
      <x:c r="AB78" s="5" t="n"/>
      <x:c r="AC78" s="5" t="n"/>
      <x:c r="AD78" s="5" t="n"/>
      <x:c r="AE78" s="5" t="n"/>
      <x:c r="AF78" s="5" t="n"/>
      <x:c r="AG78" s="2" t="inlineStr">
        <x:is>
          <x:t xml:space="preserve">https://www.sciencedirect.com/science/article/pii/S0743731524000480</x:t>
        </x:is>
      </x:c>
      <x:c r="AH78" s="2" t="n"/>
      <x:c r="AI78" s="2" t="n"/>
      <x:c r="AJ78" s="2" t="inlineStr">
        <x:is>
          <x:t xml:space="preserve">2025-07-21 09:23:43+00:00</x:t>
        </x:is>
      </x:c>
      <x:c r="AK78" s="4" t="n">
        <x:v>288000000000000</x:v>
      </x:c>
      <x:c r="AL78" s="4" t="n"/>
      <x:c r="AM78" s="4" t="n">
        <x:v>4608000000000000</x:v>
      </x:c>
      <x:c r="AN78" s="4" t="n"/>
      <x:c r="AO78" s="4" t="n">
        <x:v>288000000000000</x:v>
      </x:c>
    </x:row>
    <x:row r="79">
      <x:c r="A79" s="2" t="inlineStr">
        <x:is>
          <x:t xml:space="preserve">Huawei Ascend 910A Premium</x:t>
        </x:is>
      </x:c>
      <x:c r="B79" s="2" t="str">
        <x:f>IFERROR(VLOOKUP(TRIM($A79),_classification_map!$A$2:$C$227,2,FALSE),"")</x:f>
        <x:v>Ascend 910A</x:v>
      </x:c>
      <x:c r="C79" s="2" t="str">
        <x:f>IFERROR(VLOOKUP(TRIM($A79),_classification_map!$A$2:$C$227,3,FALSE),"")</x:f>
        <x:v>Ascend</x:v>
      </x:c>
      <x:c r="D79" s="2" t="inlineStr">
        <x:is>
          <x:t xml:space="preserve">Huawei</x:t>
        </x:is>
      </x:c>
      <x:c r="E79" s="2" t="inlineStr">
        <x:is>
          <x:t xml:space="preserve">GPU</x:t>
        </x:is>
      </x:c>
      <x:c r="F79" s="2" t="n"/>
      <x:c r="G79" s="2" t="inlineStr">
        <x:is>
          <x:t xml:space="preserve">2019-08-23</x:t>
        </x:is>
      </x:c>
      <x:c r="H79" s="3" t="n"/>
      <x:c r="I79" s="4" t="n"/>
      <x:c r="J79" s="4" t="n"/>
      <x:c r="K79" s="4" t="n"/>
      <x:c r="L79" s="4" t="n">
        <x:v>32000000000</x:v>
      </x:c>
      <x:c r="M79" s="4" t="n">
        <x:v>1288000000000</x:v>
      </x:c>
      <x:c r="N79" s="4" t="n"/>
      <x:c r="O79" s="4" t="n"/>
      <x:c r="P79" s="5" t="n"/>
      <x:c r="Q79" s="4" t="n"/>
      <x:c r="R79" s="4" t="n"/>
      <x:c r="S79" s="4" t="n"/>
      <x:c r="T79" s="4" t="n">
        <x:v>320000000000000</x:v>
      </x:c>
      <x:c r="U79" s="4" t="n"/>
      <x:c r="V79" s="4" t="n"/>
      <x:c r="W79" s="4" t="n"/>
      <x:c r="X79" s="2" t="n"/>
      <x:c r="Y79" s="5" t="n"/>
      <x:c r="Z79" s="5" t="n"/>
      <x:c r="AA79" s="5" t="n"/>
      <x:c r="AB79" s="5" t="n"/>
      <x:c r="AC79" s="5" t="n"/>
      <x:c r="AD79" s="5" t="n"/>
      <x:c r="AE79" s="5" t="n"/>
      <x:c r="AF79" s="5" t="n"/>
      <x:c r="AG79" s="2" t="n"/>
      <x:c r="AH79" s="2" t="n"/>
      <x:c r="AI79" s="2" t="n"/>
      <x:c r="AJ79" s="2" t="inlineStr">
        <x:is>
          <x:t xml:space="preserve">2025-07-21 09:23:42+00:00</x:t>
        </x:is>
      </x:c>
      <x:c r="AK79" s="4" t="n">
        <x:v>320000000000000</x:v>
      </x:c>
      <x:c r="AL79" s="4" t="n"/>
      <x:c r="AM79" s="4" t="n">
        <x:v>5120000000000000</x:v>
      </x:c>
      <x:c r="AN79" s="4" t="n"/>
      <x:c r="AO79" s="4" t="n">
        <x:v>320000000000000</x:v>
      </x:c>
    </x:row>
    <x:row r="80" s="9" customFormat="1" ht="57.599998474121094" customHeight="1">
      <x:c r="A80" s="2" t="inlineStr">
        <x:is>
          <x:t xml:space="preserve">Huawei Ascend 910</x:t>
        </x:is>
      </x:c>
      <x:c r="B80" s="2" t="str">
        <x:f>IFERROR(VLOOKUP(TRIM($A80),_classification_map!$A$2:$C$227,2,FALSE),"")</x:f>
        <x:v>Ascend 910</x:v>
      </x:c>
      <x:c r="C80" s="2" t="str">
        <x:f>IFERROR(VLOOKUP(TRIM($A80),_classification_map!$A$2:$C$227,3,FALSE),"")</x:f>
        <x:v>Ascend</x:v>
      </x:c>
      <x:c r="D80" s="2" t="inlineStr">
        <x:is>
          <x:t xml:space="preserve">Huawei</x:t>
        </x:is>
      </x:c>
      <x:c r="E80" s="2" t="inlineStr">
        <x:is>
          <x:t xml:space="preserve">GPU</x:t>
        </x:is>
      </x:c>
      <x:c r="F80" s="2" t="n"/>
      <x:c r="G80" s="2" t="inlineStr">
        <x:is>
          <x:t xml:space="preserve">2019-08-23</x:t>
        </x:is>
      </x:c>
      <x:c r="H80" s="3" t="n"/>
      <x:c r="I80" s="4" t="n"/>
      <x:c r="J80" s="4" t="n"/>
      <x:c r="K80" s="4" t="n"/>
      <x:c r="L80" s="4" t="n"/>
      <x:c r="M80" s="4" t="n">
        <x:v>1288000000000</x:v>
      </x:c>
      <x:c r="N80" s="4" t="n"/>
      <x:c r="O80" s="4" t="n"/>
      <x:c r="P80" s="5" t="n">
        <x:v>310</x:v>
      </x:c>
      <x:c r="Q80" s="4" t="n"/>
      <x:c r="R80" s="4" t="n"/>
      <x:c r="S80" s="4" t="n"/>
      <x:c r="T80" s="4" t="n">
        <x:v>256000000000000</x:v>
      </x:c>
      <x:c r="U80" s="4" t="n"/>
      <x:c r="V80" s="4" t="n">
        <x:v>512000000000000</x:v>
      </x:c>
      <x:c r="W80" s="4" t="n"/>
      <x:c r="X80" s="2" t="n"/>
      <x:c r="Y80" s="5" t="n">
        <x:v>1228</x:v>
      </x:c>
      <x:c r="Z80" s="5" t="n"/>
      <x:c r="AA80" s="5" t="n"/>
      <x:c r="AB80" s="5" t="n"/>
      <x:c r="AC80" s="5" t="n"/>
      <x:c r="AD80" s="5" t="n"/>
      <x:c r="AE80" s="5" t="n">
        <x:v>7</x:v>
      </x:c>
      <x:c r="AF80" s="5" t="n"/>
      <x:c r="AG80" s="2" t="inlineStr">
        <x:is>
          <x:t xml:space="preserve">https://old.hotchips.org/hc31/HC31_1.11_Huawei.Davinci.HengLiao_v4.0.pdf
https://cset.georgetown.edu/publication/pushing-the-limits-huaweis-ai-chip-tests-u-s-export-controls/</x:t>
        </x:is>
      </x:c>
      <x:c r="AH80" s="2" t="n"/>
      <x:c r="AI80" s="2" t="inlineStr">
        <x:is>
          <x:t xml:space="preserve">PanGu-α,CodeGeeX,PanGu-Σ,ERNIE 3.0 Titan</x:t>
        </x:is>
      </x:c>
      <x:c r="AJ80" s="2" t="inlineStr">
        <x:is>
          <x:t xml:space="preserve">2026-03-18 18:59:51+00:00</x:t>
        </x:is>
      </x:c>
      <x:c r="AK80" s="4" t="n">
        <x:v>512000000000000</x:v>
      </x:c>
      <x:c r="AL80" s="4" t="n">
        <x:v>1651612903225.81</x:v>
      </x:c>
      <x:c r="AM80" s="4" t="n">
        <x:v>4096000000000000</x:v>
      </x:c>
      <x:c r="AN80" s="4" t="n"/>
      <x:c r="AO80" s="4" t="n">
        <x:v>512000000000000</x:v>
      </x:c>
    </x:row>
    <x:row r="81" s="9" customFormat="1" ht="57.599998474121094" customHeight="1">
      <x:c r="A81" s="2" t="inlineStr">
        <x:is>
          <x:t xml:space="preserve">Huawei Ascend 910 (320 TFLOPS)</x:t>
        </x:is>
      </x:c>
      <x:c r="B81" s="2" t="str">
        <x:f>IFERROR(VLOOKUP(TRIM($A81),_classification_map!$A$2:$C$227,2,FALSE),"")</x:f>
        <x:v>Ascend 910</x:v>
      </x:c>
      <x:c r="C81" s="2" t="str">
        <x:f>IFERROR(VLOOKUP(TRIM($A81),_classification_map!$A$2:$C$227,3,FALSE),"")</x:f>
        <x:v>Ascend</x:v>
      </x:c>
      <x:c r="D81" s="2" t="inlineStr">
        <x:is>
          <x:t xml:space="preserve">Huawei</x:t>
        </x:is>
      </x:c>
      <x:c r="E81" s="2" t="inlineStr">
        <x:is>
          <x:t xml:space="preserve">GPU</x:t>
        </x:is>
      </x:c>
      <x:c r="F81" s="2" t="n"/>
      <x:c r="G81" s="2" t="inlineStr">
        <x:is>
          <x:t xml:space="preserve">2019-08-23</x:t>
        </x:is>
      </x:c>
      <x:c r="H81" s="3" t="n"/>
      <x:c r="I81" s="4" t="n"/>
      <x:c r="J81" s="4" t="n"/>
      <x:c r="K81" s="4" t="n"/>
      <x:c r="L81" s="4" t="n"/>
      <x:c r="M81" s="4" t="n">
        <x:v>1288000000000</x:v>
      </x:c>
      <x:c r="N81" s="4" t="n"/>
      <x:c r="O81" s="4" t="n"/>
      <x:c r="P81" s="5" t="n">
        <x:v>310</x:v>
      </x:c>
      <x:c r="Q81" s="4" t="n"/>
      <x:c r="R81" s="4" t="n"/>
      <x:c r="S81" s="4" t="n"/>
      <x:c r="T81" s="4" t="n">
        <x:v>320000000000000</x:v>
      </x:c>
      <x:c r="U81" s="4" t="n"/>
      <x:c r="V81" s="4" t="n">
        <x:v>640000000000000</x:v>
      </x:c>
      <x:c r="W81" s="4" t="n"/>
      <x:c r="X81" s="2" t="n"/>
      <x:c r="Y81" s="5" t="n">
        <x:v>1228</x:v>
      </x:c>
      <x:c r="Z81" s="5" t="n"/>
      <x:c r="AA81" s="5" t="n"/>
      <x:c r="AB81" s="5" t="n"/>
      <x:c r="AC81" s="5" t="n"/>
      <x:c r="AD81" s="5" t="n"/>
      <x:c r="AE81" s="5" t="n">
        <x:v>7</x:v>
      </x:c>
      <x:c r="AF81" s="5" t="n"/>
      <x:c r="AG81" s="2" t="inlineStr">
        <x:is>
          <x:t xml:space="preserve">https://old.hotchips.org/hc31/HC31_1.11_Huawei.Davinci.HengLiao_v4.0.pdf
https://cset.georgetown.edu/publication/pushing-the-limits-huaweis-ai-chip-tests-u-s-export-controls/</x:t>
        </x:is>
      </x:c>
      <x:c r="AH81" s="2" t="n"/>
      <x:c r="AI81" s="2" t="n"/>
      <x:c r="AJ81" s="2" t="inlineStr">
        <x:is>
          <x:t xml:space="preserve">2025-07-21 09:23:42+00:00</x:t>
        </x:is>
      </x:c>
      <x:c r="AK81" s="4" t="n">
        <x:v>640000000000000</x:v>
      </x:c>
      <x:c r="AL81" s="4" t="n">
        <x:v>2064516129032.26</x:v>
      </x:c>
      <x:c r="AM81" s="4" t="n">
        <x:v>5120000000000000</x:v>
      </x:c>
      <x:c r="AN81" s="4" t="n"/>
      <x:c r="AO81" s="4" t="n">
        <x:v>640000000000000</x:v>
      </x:c>
    </x:row>
    <x:row r="82" s="9" customFormat="1" ht="86.4000015258789" customHeight="1">
      <x:c r="A82" s="2" t="inlineStr">
        <x:is>
          <x:t xml:space="preserve">NVIDIA A800 PCIe 40 GB</x:t>
        </x:is>
      </x:c>
      <x:c r="B82" s="2" t="str">
        <x:f>IFERROR(VLOOKUP(TRIM($A82),_classification_map!$A$2:$C$227,2,FALSE),"")</x:f>
        <x:v>Ampere</x:v>
      </x:c>
      <x:c r="C82" s="2" t="str">
        <x:f>IFERROR(VLOOKUP(TRIM($A82),_classification_map!$A$2:$C$227,3,FALSE),"")</x:f>
        <x:v>Datacenter A-series</x:v>
      </x:c>
      <x:c r="D82" s="2" t="inlineStr">
        <x:is>
          <x:t xml:space="preserve">NVIDIA</x:t>
        </x:is>
      </x:c>
      <x:c r="E82" s="2" t="inlineStr">
        <x:is>
          <x:t xml:space="preserve">GPU</x:t>
        </x:is>
      </x:c>
      <x:c r="F82" s="2" t="n"/>
      <x:c r="G82" s="2" t="inlineStr">
        <x:is>
          <x:t xml:space="preserve">2022-11-08</x:t>
        </x:is>
      </x:c>
      <x:c r="H82" s="3" t="n"/>
      <x:c r="I82" s="4" t="n">
        <x:v>311800000000000</x:v>
      </x:c>
      <x:c r="J82" s="4" t="n"/>
      <x:c r="K82" s="4" t="n"/>
      <x:c r="L82" s="4" t="n"/>
      <x:c r="M82" s="4" t="n">
        <x:v>1560000000000</x:v>
      </x:c>
      <x:c r="N82" s="4" t="n"/>
      <x:c r="O82" s="4" t="n"/>
      <x:c r="P82" s="5" t="n">
        <x:v>250</x:v>
      </x:c>
      <x:c r="Q82" s="4" t="n">
        <x:v>9746000000000</x:v>
      </x:c>
      <x:c r="R82" s="4" t="n">
        <x:v>19490000000000</x:v>
      </x:c>
      <x:c r="S82" s="4" t="n">
        <x:v>155900000000000</x:v>
      </x:c>
      <x:c r="T82" s="4" t="n">
        <x:v>77970000000000</x:v>
      </x:c>
      <x:c r="U82" s="4" t="n"/>
      <x:c r="V82" s="4" t="n"/>
      <x:c r="W82" s="4" t="n"/>
      <x:c r="X82" s="2" t="inlineStr">
        <x:is>
          <x:t xml:space="preserve">TSMC</x:t>
        </x:is>
      </x:c>
      <x:c r="Y82" s="5" t="n">
        <x:v>826</x:v>
      </x:c>
      <x:c r="Z82" s="5" t="n"/>
      <x:c r="AA82" s="5" t="n">
        <x:v>1410</x:v>
      </x:c>
      <x:c r="AB82" s="5" t="n"/>
      <x:c r="AC82" s="5" t="n">
        <x:v>5120</x:v>
      </x:c>
      <x:c r="AD82" s="5" t="n">
        <x:v>432</x:v>
      </x:c>
      <x:c r="AE82" s="5" t="n">
        <x:v>7</x:v>
      </x:c>
      <x:c r="AF82" s="5" t="n">
        <x:v>54200</x:v>
      </x:c>
      <x:c r="AG82" s="2" t="inlineStr">
        <x:is>
          <x:t xml:space="preserve">https://www.techpowerup.com/gpu-specs/a800-pcie-40-gb.c3964
https://www.techpowerup.com/gpu-specs/a800-pcie-80-gb.c3965
https://www.techpowerup.com/gpu-specs/a800-sxm4-80-gb.c3966</x:t>
        </x:is>
      </x:c>
      <x:c r="AH82" s="2" t="n"/>
      <x:c r="AI82" s="2" t="inlineStr">
        <x:is>
          <x:t xml:space="preserve">FLM-101B,Skywork-13B,DreamLLM,BGE-M3 Embedding,OmniGen,ProSST,Baichuan 2-7B,YaYi 2.0,Baichuan1-7B,DiffPepBuilder,DiLoCoX (Qwen1.5-107B on WT-103)</x:t>
        </x:is>
      </x:c>
      <x:c r="AJ82" s="2" t="inlineStr">
        <x:is>
          <x:t xml:space="preserve">2026-03-18 12:56:18+00:00</x:t>
        </x:is>
      </x:c>
      <x:c r="AK82" s="4" t="n">
        <x:v>311800000000000</x:v>
      </x:c>
      <x:c r="AL82" s="4" t="n">
        <x:v>1247200000000</x:v>
      </x:c>
      <x:c r="AM82" s="4" t="n">
        <x:v>4988800000000000</x:v>
      </x:c>
      <x:c r="AN82" s="4" t="n"/>
      <x:c r="AO82" s="4" t="n">
        <x:v>311800000000000</x:v>
      </x:c>
    </x:row>
    <x:row r="83" s="9" customFormat="1" ht="259.20001220703125" customHeight="1">
      <x:c r="A83" s="2" t="inlineStr">
        <x:is>
          <x:t xml:space="preserve">NVIDIA A100 SXM4 40 GB</x:t>
        </x:is>
      </x:c>
      <x:c r="B83" s="2" t="str">
        <x:f>IFERROR(VLOOKUP(TRIM($A83),_classification_map!$A$2:$C$227,2,FALSE),"")</x:f>
        <x:v>Ampere</x:v>
      </x:c>
      <x:c r="C83" s="2" t="str">
        <x:f>IFERROR(VLOOKUP(TRIM($A83),_classification_map!$A$2:$C$227,3,FALSE),"")</x:f>
        <x:v>Datacenter A-series</x:v>
      </x:c>
      <x:c r="D83" s="2" t="inlineStr">
        <x:is>
          <x:t xml:space="preserve">NVIDIA</x:t>
        </x:is>
      </x:c>
      <x:c r="E83" s="2" t="inlineStr">
        <x:is>
          <x:t xml:space="preserve">GPU</x:t>
        </x:is>
      </x:c>
      <x:c r="F83" s="2" t="n"/>
      <x:c r="G83" s="2" t="inlineStr">
        <x:is>
          <x:t xml:space="preserve">2020-05-14</x:t>
        </x:is>
      </x:c>
      <x:c r="H83" s="3" t="n">
        <x:v>15000</x:v>
      </x:c>
      <x:c r="I83" s="4" t="n">
        <x:v>312000000000000</x:v>
      </x:c>
      <x:c r="J83" s="4" t="n"/>
      <x:c r="K83" s="4" t="n"/>
      <x:c r="L83" s="4" t="n">
        <x:v>40000000000</x:v>
      </x:c>
      <x:c r="M83" s="4" t="n">
        <x:v>1560000000000</x:v>
      </x:c>
      <x:c r="N83" s="4" t="n">
        <x:v>600000000000</x:v>
      </x:c>
      <x:c r="O83" s="4" t="n">
        <x:v>200000000000</x:v>
      </x:c>
      <x:c r="P83" s="5" t="n">
        <x:v>400</x:v>
      </x:c>
      <x:c r="Q83" s="4" t="n">
        <x:v>9746000000000</x:v>
      </x:c>
      <x:c r="R83" s="4" t="n">
        <x:v>19490000000000</x:v>
      </x:c>
      <x:c r="S83" s="4" t="n">
        <x:v>156000000000000</x:v>
      </x:c>
      <x:c r="T83" s="4" t="n">
        <x:v>77970000000000</x:v>
      </x:c>
      <x:c r="U83" s="4" t="n"/>
      <x:c r="V83" s="4" t="n">
        <x:v>624000000000000</x:v>
      </x:c>
      <x:c r="W83" s="4" t="n"/>
      <x:c r="X83" s="2" t="inlineStr">
        <x:is>
          <x:t xml:space="preserve">TSMC</x:t>
        </x:is>
      </x:c>
      <x:c r="Y83" s="5" t="n">
        <x:v>826</x:v>
      </x:c>
      <x:c r="Z83" s="5" t="n">
        <x:v>1095</x:v>
      </x:c>
      <x:c r="AA83" s="5" t="n">
        <x:v>1410</x:v>
      </x:c>
      <x:c r="AB83" s="5" t="n">
        <x:v>1215</x:v>
      </x:c>
      <x:c r="AC83" s="5" t="n">
        <x:v>5120</x:v>
      </x:c>
      <x:c r="AD83" s="5" t="n">
        <x:v>432</x:v>
      </x:c>
      <x:c r="AE83" s="5" t="n">
        <x:v>7</x:v>
      </x:c>
      <x:c r="AF83" s="5" t="n">
        <x:v>54200</x:v>
      </x:c>
      <x:c r="AG83" s="2" t="inlineStr">
        <x:is>
          <x:t xml:space="preserve">https://www.techpowerup.com/gpu-specs/a100-sxm4-40-gb.c3506</x:t>
        </x:is>
      </x:c>
      <x:c r="AH83" s="2" t="inlineStr">
        <x:is>
          <x:t xml:space="preserve">https://www.nextplatform.com/2022/05/09/how-much-of-a-premium-will-nvidia-charge-for-hopper-gpus/</x:t>
        </x:is>
      </x:c>
      <x:c r="AI83" s="2" t="inlineStr">
        <x:is>
          <x:t xml:space="preserve">Florence,Luminous-supreme,Falcon-180B,GPT-3.5 (davinci-002)
,GPT-4 (Mar 2023),StableLM-Base-Alpha-7B,Phi-1.5,WeLM,GLM-130B,BlenderBot 3,GPT-NeoX-20B,TinyLlama-1.1B (1T token checkpoint),TinyLlama-1.1B (3T token checkpoint),StableLM-2-1.6B,DINOv2,Stable Code 3B,Falcon-7B,Qarasu-14B,Flan T5-XXL + BLIP-2,BLIP-2 (Q-Former),Swin Transformer V2 (SwinV2-G),SPHINX (Llama 2 13B),EVA-01,CoRe,InstructBLIP,xTrimoPGLM -100B,MPT-7B,Pythia-12b,Pythia-2.8b,Pythia-6.9b,Pythia-160m,Pythia-1b,Pythia-1.4b,Pythia-70m,Pythia-410m,PLaMo-13B,Falcon 2 11B,Janus 1.3B,Luminous-extended,Luminous-base,TeleChat-7B,TeleChat-3B,TeleChat-12B,aiXcoder-7B Base,Janus-Pro-7B,Janus-Pro-1B,SEA-LION V1 3B,SEA-LION V1 7B,Llama-SEA-LION-v2-8B-IT,Novae,HelixProtX,Sailor-7B-Chat,SEA-LION-v1-7B-IT,SGPT BE 5.8B,ToolFormer,Stable Diffusion 2.1,AntiFormer,GPT-2 Medium (FlashAttention),Llemma 7B,Llemma 34B,Teuken 7B,Aquila2 34B,Aquila2‑70B‑Expr,Deepseek OCR,GPT-4 (Jun 2023)</x:t>
        </x:is>
      </x:c>
      <x:c r="AJ83" s="2" t="inlineStr">
        <x:is>
          <x:t xml:space="preserve">2026-03-18 12:56:18+00:00</x:t>
        </x:is>
      </x:c>
      <x:c r="AK83" s="4" t="n">
        <x:v>624000000000000</x:v>
      </x:c>
      <x:c r="AL83" s="4" t="n">
        <x:v>1560000000000</x:v>
      </x:c>
      <x:c r="AM83" s="4" t="n">
        <x:v>4992000000000000</x:v>
      </x:c>
      <x:c r="AN83" s="4" t="n">
        <x:v>41600000000</x:v>
      </x:c>
      <x:c r="AO83" s="4" t="n">
        <x:v>624000000000000</x:v>
      </x:c>
    </x:row>
    <x:row r="84" s="9" customFormat="1" ht="409.5" customHeight="1">
      <x:c r="A84" s="2" t="inlineStr">
        <x:is>
          <x:t xml:space="preserve">NVIDIA A100</x:t>
        </x:is>
      </x:c>
      <x:c r="B84" s="2" t="str">
        <x:f>IFERROR(VLOOKUP(TRIM($A84),_classification_map!$A$2:$C$227,2,FALSE),"")</x:f>
        <x:v>Ampere</x:v>
      </x:c>
      <x:c r="C84" s="2" t="str">
        <x:f>IFERROR(VLOOKUP(TRIM($A84),_classification_map!$A$2:$C$227,3,FALSE),"")</x:f>
        <x:v>Datacenter A-series</x:v>
      </x:c>
      <x:c r="D84" s="2" t="inlineStr">
        <x:is>
          <x:t xml:space="preserve">NVIDIA</x:t>
        </x:is>
      </x:c>
      <x:c r="E84" s="2" t="inlineStr">
        <x:is>
          <x:t xml:space="preserve">GPU</x:t>
        </x:is>
      </x:c>
      <x:c r="F84" s="2" t="n"/>
      <x:c r="G84" s="2" t="inlineStr">
        <x:is>
          <x:t xml:space="preserve">2020-03-01</x:t>
        </x:is>
      </x:c>
      <x:c r="H84" s="3" t="n"/>
      <x:c r="I84" s="4" t="n">
        <x:v>312000000000000</x:v>
      </x:c>
      <x:c r="J84" s="4" t="n"/>
      <x:c r="K84" s="4" t="n"/>
      <x:c r="L84" s="4" t="n">
        <x:v>40000000000</x:v>
      </x:c>
      <x:c r="M84" s="4" t="n">
        <x:v>1560000000000</x:v>
      </x:c>
      <x:c r="N84" s="4" t="n">
        <x:v>600000000000</x:v>
      </x:c>
      <x:c r="O84" s="4" t="n">
        <x:v>200000000000</x:v>
      </x:c>
      <x:c r="P84" s="5" t="n">
        <x:v>400</x:v>
      </x:c>
      <x:c r="Q84" s="4" t="n">
        <x:v>9700000000000</x:v>
      </x:c>
      <x:c r="R84" s="4" t="n">
        <x:v>19500000000000</x:v>
      </x:c>
      <x:c r="S84" s="4" t="n">
        <x:v>156000000000000</x:v>
      </x:c>
      <x:c r="T84" s="4" t="n">
        <x:v>77970000000000</x:v>
      </x:c>
      <x:c r="U84" s="4" t="n"/>
      <x:c r="V84" s="4" t="n">
        <x:v>624000000000000</x:v>
      </x:c>
      <x:c r="W84" s="4" t="n"/>
      <x:c r="X84" s="2" t="inlineStr">
        <x:is>
          <x:t xml:space="preserve">TSMC</x:t>
        </x:is>
      </x:c>
      <x:c r="Y84" s="5" t="n">
        <x:v>826</x:v>
      </x:c>
      <x:c r="Z84" s="5" t="n">
        <x:v>1280</x:v>
      </x:c>
      <x:c r="AA84" s="5" t="n">
        <x:v>1410</x:v>
      </x:c>
      <x:c r="AB84" s="5" t="n">
        <x:v>1590</x:v>
      </x:c>
      <x:c r="AC84" s="5" t="n">
        <x:v>5120</x:v>
      </x:c>
      <x:c r="AD84" s="5" t="n">
        <x:v>432</x:v>
      </x:c>
      <x:c r="AE84" s="5" t="n">
        <x:v>7</x:v>
      </x:c>
      <x:c r="AF84" s="5" t="n">
        <x:v>54200</x:v>
      </x:c>
      <x:c r="AG84" s="2" t="inlineStr">
        <x:is>
          <x:t xml:space="preserve">https://www.nvidia.com/content/dam/en-zz/Solutions/Data-Center/a100/pdf/nvidia-a100-datasheet-us-nvidia-1758950-r4-web.pdf; https://www.techpowerup.com/gpu-specs/a100-sxm4-80-gb.c3746</x:t>
        </x:is>
      </x:c>
      <x:c r="AH84" s="2" t="inlineStr">
        <x:is>
          <x:t xml:space="preserve">https://arstechnica.com/gadgets/2016/07/gtx-titan-x-pascal-specs-price-release-date/#:~:text=Surprise!%20%E2%80%94-,Nvidia%20unveils%20new%20GTX%20Titan%20X,teraflops%2C%2012GB%20GDDR5X%2C%20just%20%241%2C200,   https://www.extremetech.com/gaming/232924-nvidia-titan-x-offers-incredible-performance-at-a-significant-cost</x:t>
        </x:is>
      </x:c>
      <x:c r="AI84" s="2" t="inlineStr">
        <x:is>
          <x:t xml:space="preserve">DLRM-2022,Taiyi-Stable Diffusion,AR-LDM,Megatron-LM (1T),DLRM-12T,LLaMA-65B,GPT-SW3,CALM,Falcon-40B,Ferret (13B),Show-1,MoE-1.1T,StableLM-3B-4E1T,CodeT5-base,CodeT5-large,CodeT5+,ZymCTRL,BloombergGPT,LLaMA-7B,DiT-XL/2 + Discriminator Guidance,Platypus-70B,OPT-IML (175B),Fairseq-dense 13B,Polyglot-Ko-12.8B,PULI GPTrio,LLaMA-13B,Wu Dao Aquila-7B,Phi-2,Nemotron-3-8B,Japanese-LM-3.6B,EMDR,LDM-1.45B,ImageBind,Tranception,ProtGPT2,gLM,HyenaDNA,Nucleotide Transformer,Segment Anything Model,AudioGen,EnCodec,YaLM,Granite 13B,HyperCLOVA 82B,CoEdiT-xxl,XGLM-7.5B,RQ-Transformer (LSUN-cat dataset),RQ-Transformer (1.4B params ImageNet dataset),RQ-Transformer (3.8B params ImageNet dataset),LLaVA,LLaVA 1.5,LLaVA-NeXT-34B (LLaVA-1.6),CTR-BERT,DeepSeekMoE-16B,eDiff-I,Starling-LM-7B-alpha,OtterHD-8B,OneLLM,InternLM-XComposer,AlexaTM 20B,PLUG,Stable Diffusion (LDM-KL-8-G),Wu Dao Aquila-33B,MegaScale (175B),MegaScale (530B),MegaScale (Production),Evo,Reka Core,Reka Flash,OLMo-7B,MosaicML Diffusion,ruDalle: Kandinsky 3.0,ruDalle: Kandinsky 3.1,Prithvi-100M,GPT-2 (AMPS),HyperCLOVA 204B,Amazon Titan,Perfusion,BGE-M3 Embedding,Swallow,MuggleMath,MiniGPT4 (Vicuna finetune),Genie 2 (bio),OpenVLA,MGK 4 heads (medium),AlphaFold 3,FRED-T5-XL,ruGPT-3.5 13B,CHAI-1,ProteinSetTransformer,Aurora,ERNIE-ViLG 2.0,3-ensemble of Self-ensembles on CIFAR-100,ChatBit,MACE-MP-0,MetaMath 7B (LLaMa finetune),MetaMath 7B (Mistral finetune),T2V-Turbo-v2,VideoCrafter2,4D Diffusion for Dynamic Protein Structure Prediction with Reference Guided Motion Alignment,IDPFold,MolPhenix,Importance of higher-order epistasis in large protein sequence-function relationships,PlasmidGPT,Vicuna-7B v0,Vicuna-13B v0,Vicuna-13B-v1.3,Vicuna-7B-v1.3,RWKV-6 (Finch) 3B,Zephyr 7B,BaiLing TTS,BaseFold,HiFi - NN,Phi-1,HAM-TTS,HGRN 1B (WT 103),IDEFICS-9B,IDEFICS-80B,MatterSim (M3GNet - MatterSim-v1.0.0-5M),MatterSim (Grpaphomer),Apollo 7B,Apollo 3B,Apollo 1.5B,TigerBot-70B,MatterGen,xLSTM 1.4B,Jurassic-1-Jumbo,ALLaM adapted13B
,ALLaM adapted 70B,ALLaM 7B,ALLaM 34B,OLMo-1B,Yi-34B,RNAformer,Fugatto 1,EGRU (PTB),MLDD3UTRmRRNAS,FragLlama,Jaeger,ProtSSN,CoPRA,ProTrek,ProtT3,InstructPLM,GroundingGPT,Uni-RNA-L8,Uni-RNA-L12,ESM-GearNet,Hybrid H3-125M,Hybrid H3-355M,Hybrid H3-1.3B,GearNet,EGRU (WT2),MGK 8 heads (small),S4,Prithvi WxC,InternViT-6B,Vega v2,OmniFusion-7B (InternViT-6B-448px V1-2),EPInformer,DRGN-AI,ProCALM (Uniref9B),PocketFlow,VILA-7B,VILA1.5-13B,Oryx 7B ,Pyramid Flow,FlexSBDD,PocketGen,IgGM,RNAdiffusion,AMPLIFY,Alphaflow,ESMFlow,ProRNA3D-Single,FoldFlow2,SaProt,ESM-AA,OREAL 7B,OREAL 32B,DeepSeek-VL-7B,DeepSeek-VL-1.3B,ProstT5,RiNALMo,PTM-Mamba,Protllm,DecompDiff,Re-Dock,DiscDiff,PLLaMa,FoldFlow,PoET,Genie-SCOPe (bio),DiffSBDD (CrossDocked),RNA-FM,Animate Anyone,Animate Anyone 2,Prithvi-EO-2.0 300M,Prithvi-EO-2.0 600M,Lumina-Image-2.0,Boltz-2,GAIA-1,NÜWA,Amazon Nova Canvas,Amazon Nova Reel,Amazon Nova Micro,Amazon Nova Lite,Amazon Nova Pro,ZhihaiTu AI (知海图),Reka Edge,Grounding Dino L,V-JEPA,STORM-B/8,SANA 1.5 4.8B,Diffusion Renderer,FoundationStereo,Zero-shot Monocular Scene Flow (ZeroMSF),OpenOmni,GigaChat Pro,Hymba,Wu Dao - Wen Lan,Apollo-7B,Turing ULRv5,Alibaba-NLP (mGTE),Canary 1B v2,Parakeet-tdt-0.6b-v3,SauTech,FourCastNet,Demist-2,Surya,ZhiLu-2-8B-Instruct,TerraMind,LongLoRA,Agentar-Fin-R1 8B,Agentar-Fin-R1 32B,Statement Curriculum Learning,LoongRL 7B</x:t>
        </x:is>
      </x:c>
      <x:c r="AJ84" s="2" t="inlineStr">
        <x:is>
          <x:t xml:space="preserve">2026-03-18 19:00:05+00:00</x:t>
        </x:is>
      </x:c>
      <x:c r="AK84" s="4" t="n">
        <x:v>624000000000000</x:v>
      </x:c>
      <x:c r="AL84" s="4" t="n">
        <x:v>1560000000000</x:v>
      </x:c>
      <x:c r="AM84" s="4" t="n">
        <x:v>4992000000000000</x:v>
      </x:c>
      <x:c r="AN84" s="4" t="n"/>
      <x:c r="AO84" s="4" t="n">
        <x:v>624000000000000</x:v>
      </x:c>
    </x:row>
    <x:row r="85" s="9" customFormat="1" ht="28.799999237060547" customHeight="1">
      <x:c r="A85" s="2" t="inlineStr">
        <x:is>
          <x:t xml:space="preserve">NVIDIA RTX A4000</x:t>
        </x:is>
      </x:c>
      <x:c r="B85" s="2" t="str">
        <x:f>IFERROR(VLOOKUP(TRIM($A85),_classification_map!$A$2:$C$227,2,FALSE),"")</x:f>
        <x:v>Ampere</x:v>
      </x:c>
      <x:c r="C85" s="2" t="str">
        <x:f>IFERROR(VLOOKUP(TRIM($A85),_classification_map!$A$2:$C$227,3,FALSE),"")</x:f>
        <x:v>RTX Workstation</x:v>
      </x:c>
      <x:c r="D85" s="2" t="inlineStr">
        <x:is>
          <x:t xml:space="preserve">NVIDIA</x:t>
        </x:is>
      </x:c>
      <x:c r="E85" s="2" t="inlineStr">
        <x:is>
          <x:t xml:space="preserve">GPU</x:t>
        </x:is>
      </x:c>
      <x:c r="F85" s="2" t="n"/>
      <x:c r="G85" s="2" t="inlineStr">
        <x:is>
          <x:t xml:space="preserve">2021-04-12</x:t>
        </x:is>
      </x:c>
      <x:c r="H85" s="3" t="n">
        <x:v>1000</x:v>
      </x:c>
      <x:c r="I85" s="4" t="n">
        <x:v>153400000000000</x:v>
      </x:c>
      <x:c r="J85" s="4" t="n"/>
      <x:c r="K85" s="4" t="n"/>
      <x:c r="L85" s="4" t="n">
        <x:v>16000000000</x:v>
      </x:c>
      <x:c r="M85" s="4" t="n">
        <x:v>448000000000</x:v>
      </x:c>
      <x:c r="N85" s="4" t="n"/>
      <x:c r="O85" s="4" t="n"/>
      <x:c r="P85" s="5" t="n">
        <x:v>140</x:v>
      </x:c>
      <x:c r="Q85" s="4" t="n">
        <x:v>599000000000</x:v>
      </x:c>
      <x:c r="R85" s="4" t="n">
        <x:v>19170000000000</x:v>
      </x:c>
      <x:c r="S85" s="4" t="n"/>
      <x:c r="T85" s="4" t="n">
        <x:v>19170000000000</x:v>
      </x:c>
      <x:c r="U85" s="4" t="n"/>
      <x:c r="V85" s="4" t="n"/>
      <x:c r="W85" s="4" t="n"/>
      <x:c r="X85" s="2" t="inlineStr">
        <x:is>
          <x:t xml:space="preserve">Samsung</x:t>
        </x:is>
      </x:c>
      <x:c r="Y85" s="5" t="n">
        <x:v>392</x:v>
      </x:c>
      <x:c r="Z85" s="5" t="n">
        <x:v>735</x:v>
      </x:c>
      <x:c r="AA85" s="5" t="n">
        <x:v>1560</x:v>
      </x:c>
      <x:c r="AB85" s="5" t="n">
        <x:v>1750</x:v>
      </x:c>
      <x:c r="AC85" s="5" t="n">
        <x:v>256</x:v>
      </x:c>
      <x:c r="AD85" s="5" t="n">
        <x:v>192</x:v>
      </x:c>
      <x:c r="AE85" s="5" t="n">
        <x:v>8</x:v>
      </x:c>
      <x:c r="AF85" s="5" t="n">
        <x:v>17400</x:v>
      </x:c>
      <x:c r="AG85" s="2" t="inlineStr">
        <x:is>
          <x:t xml:space="preserve">techpowerup.com/gpu-specs/rtx-a4000.c3756</x:t>
        </x:is>
      </x:c>
      <x:c r="AH85" s="2" t="inlineStr">
        <x:is>
          <x:t xml:space="preserve">https://develop3d.com/hardware/nvidia-rtx-a4000-and-rtx-a5000-gpus-launch/</x:t>
        </x:is>
      </x:c>
      <x:c r="AI85" s="2" t="n"/>
      <x:c r="AJ85" s="2" t="inlineStr">
        <x:is>
          <x:t xml:space="preserve">2025-07-21 09:21:30+00:00</x:t>
        </x:is>
      </x:c>
      <x:c r="AK85" s="4" t="n">
        <x:v>19170000000000</x:v>
      </x:c>
      <x:c r="AL85" s="4" t="n">
        <x:v>136928571428.571</x:v>
      </x:c>
      <x:c r="AM85" s="4" t="n">
        <x:v>613440000000000</x:v>
      </x:c>
      <x:c r="AN85" s="4" t="n">
        <x:v>19170000000</x:v>
      </x:c>
      <x:c r="AO85" s="4" t="n">
        <x:v>19170000000000</x:v>
      </x:c>
    </x:row>
    <x:row r="86" s="9" customFormat="1" ht="28.799999237060547" customHeight="1">
      <x:c r="A86" s="2" t="inlineStr">
        <x:is>
          <x:t xml:space="preserve">NVIDIA RTX A5000</x:t>
        </x:is>
      </x:c>
      <x:c r="B86" s="2" t="str">
        <x:f>IFERROR(VLOOKUP(TRIM($A86),_classification_map!$A$2:$C$227,2,FALSE),"")</x:f>
        <x:v>Ampere</x:v>
      </x:c>
      <x:c r="C86" s="2" t="str">
        <x:f>IFERROR(VLOOKUP(TRIM($A86),_classification_map!$A$2:$C$227,3,FALSE),"")</x:f>
        <x:v>RTX Workstation</x:v>
      </x:c>
      <x:c r="D86" s="2" t="inlineStr">
        <x:is>
          <x:t xml:space="preserve">NVIDIA</x:t>
        </x:is>
      </x:c>
      <x:c r="E86" s="2" t="inlineStr">
        <x:is>
          <x:t xml:space="preserve">GPU</x:t>
        </x:is>
      </x:c>
      <x:c r="F86" s="2" t="n"/>
      <x:c r="G86" s="2" t="inlineStr">
        <x:is>
          <x:t xml:space="preserve">2021-04-12</x:t>
        </x:is>
      </x:c>
      <x:c r="H86" s="3" t="n">
        <x:v>2250</x:v>
      </x:c>
      <x:c r="I86" s="4" t="n">
        <x:v>222200000000000</x:v>
      </x:c>
      <x:c r="J86" s="4" t="n"/>
      <x:c r="K86" s="4" t="n"/>
      <x:c r="L86" s="4" t="n">
        <x:v>24000000000</x:v>
      </x:c>
      <x:c r="M86" s="4" t="n">
        <x:v>768000000000</x:v>
      </x:c>
      <x:c r="N86" s="4" t="n"/>
      <x:c r="O86" s="4" t="n"/>
      <x:c r="P86" s="5" t="n">
        <x:v>230</x:v>
      </x:c>
      <x:c r="Q86" s="4" t="n">
        <x:v>867800000000</x:v>
      </x:c>
      <x:c r="R86" s="4" t="n">
        <x:v>27770000000000</x:v>
      </x:c>
      <x:c r="S86" s="4" t="n"/>
      <x:c r="T86" s="4" t="n">
        <x:v>27770000000000</x:v>
      </x:c>
      <x:c r="U86" s="4" t="n"/>
      <x:c r="V86" s="4" t="n"/>
      <x:c r="W86" s="4" t="n"/>
      <x:c r="X86" s="2" t="inlineStr">
        <x:is>
          <x:t xml:space="preserve">Samsung</x:t>
        </x:is>
      </x:c>
      <x:c r="Y86" s="5" t="n">
        <x:v>628</x:v>
      </x:c>
      <x:c r="Z86" s="5" t="n">
        <x:v>1170</x:v>
      </x:c>
      <x:c r="AA86" s="5" t="n">
        <x:v>1695</x:v>
      </x:c>
      <x:c r="AB86" s="5" t="n">
        <x:v>2000</x:v>
      </x:c>
      <x:c r="AC86" s="5" t="n">
        <x:v>384</x:v>
      </x:c>
      <x:c r="AD86" s="5" t="n">
        <x:v>256</x:v>
      </x:c>
      <x:c r="AE86" s="5" t="n">
        <x:v>8</x:v>
      </x:c>
      <x:c r="AF86" s="5" t="n">
        <x:v>28300</x:v>
      </x:c>
      <x:c r="AG86" s="2" t="inlineStr">
        <x:is>
          <x:t xml:space="preserve">https://www.techpowerup.com/gpu-specs/rtx-a5000.c3748</x:t>
        </x:is>
      </x:c>
      <x:c r="AH86" s="2" t="inlineStr">
        <x:is>
          <x:t xml:space="preserve">https://develop3d.com/hardware/nvidia-rtx-a4000-and-rtx-a5000-gpus-launch/</x:t>
        </x:is>
      </x:c>
      <x:c r="AI86" s="2" t="inlineStr">
        <x:is>
          <x:t xml:space="preserve">Refact-1.6B,BiomedGPT (182M),GITIII</x:t>
        </x:is>
      </x:c>
      <x:c r="AJ86" s="2" t="inlineStr">
        <x:is>
          <x:t xml:space="preserve">2026-03-18 12:56:18+00:00</x:t>
        </x:is>
      </x:c>
      <x:c r="AK86" s="4" t="n">
        <x:v>27770000000000</x:v>
      </x:c>
      <x:c r="AL86" s="4" t="n">
        <x:v>120739130434.783</x:v>
      </x:c>
      <x:c r="AM86" s="4" t="n">
        <x:v>888640000000000</x:v>
      </x:c>
      <x:c r="AN86" s="4" t="n">
        <x:v>12342222222.2222</x:v>
      </x:c>
      <x:c r="AO86" s="4" t="n">
        <x:v>27770000000000</x:v>
      </x:c>
    </x:row>
    <x:row r="87" s="9" customFormat="1" ht="57.599998474121094" customHeight="1">
      <x:c r="A87" s="2" t="inlineStr">
        <x:is>
          <x:t xml:space="preserve">Huawei Ascend 910B1 (v1)</x:t>
        </x:is>
      </x:c>
      <x:c r="B87" s="2" t="str">
        <x:f>IFERROR(VLOOKUP(TRIM($A87),_classification_map!$A$2:$C$227,2,FALSE),"")</x:f>
        <x:v>Ascend 910B</x:v>
      </x:c>
      <x:c r="C87" s="2" t="str">
        <x:f>IFERROR(VLOOKUP(TRIM($A87),_classification_map!$A$2:$C$227,3,FALSE),"")</x:f>
        <x:v>Ascend</x:v>
      </x:c>
      <x:c r="D87" s="2" t="inlineStr">
        <x:is>
          <x:t xml:space="preserve">Huawei</x:t>
        </x:is>
      </x:c>
      <x:c r="E87" s="2" t="inlineStr">
        <x:is>
          <x:t xml:space="preserve">GPU</x:t>
        </x:is>
      </x:c>
      <x:c r="F87" s="2" t="n"/>
      <x:c r="G87" s="2" t="n"/>
      <x:c r="H87" s="3" t="n"/>
      <x:c r="I87" s="4" t="n"/>
      <x:c r="J87" s="4" t="n"/>
      <x:c r="K87" s="4" t="n"/>
      <x:c r="L87" s="4" t="n">
        <x:v>64000000000</x:v>
      </x:c>
      <x:c r="M87" s="4" t="n">
        <x:v>1600000000000</x:v>
      </x:c>
      <x:c r="N87" s="4" t="n"/>
      <x:c r="O87" s="4" t="n"/>
      <x:c r="P87" s="5" t="n"/>
      <x:c r="Q87" s="4" t="n"/>
      <x:c r="R87" s="4" t="n"/>
      <x:c r="S87" s="4" t="n"/>
      <x:c r="T87" s="4" t="n">
        <x:v>400000000000000</x:v>
      </x:c>
      <x:c r="U87" s="4" t="n"/>
      <x:c r="V87" s="4" t="n"/>
      <x:c r="W87" s="4" t="n"/>
      <x:c r="X87" s="2" t="inlineStr">
        <x:is>
          <x:t xml:space="preserve">SMIC</x:t>
        </x:is>
      </x:c>
      <x:c r="Y87" s="5" t="n"/>
      <x:c r="Z87" s="5" t="n"/>
      <x:c r="AA87" s="5" t="n"/>
      <x:c r="AB87" s="5" t="n">
        <x:v>1850</x:v>
      </x:c>
      <x:c r="AC87" s="5" t="n"/>
      <x:c r="AD87" s="5" t="n"/>
      <x:c r="AE87" s="5" t="n">
        <x:v>7</x:v>
      </x:c>
      <x:c r="AF87" s="5" t="n"/>
      <x:c r="AG87" s="2" t="inlineStr">
        <x:is>
          <x:t xml:space="preserve">https://cset.georgetown.edu/publication/pushing-the-limits-huaweis-ai-chip-tests-u-s-export-controls/#:~:text=Ascend%20910%20models%20range%20from,specially%20designed%20for%20AI%20operations</x:t>
        </x:is>
      </x:c>
      <x:c r="AH87" s="2" t="n"/>
      <x:c r="AI87" s="2" t="n"/>
      <x:c r="AJ87" s="2" t="inlineStr">
        <x:is>
          <x:t xml:space="preserve">2025-07-21 10:16:59+00:00</x:t>
        </x:is>
      </x:c>
      <x:c r="AK87" s="4" t="n">
        <x:v>400000000000000</x:v>
      </x:c>
      <x:c r="AL87" s="4" t="n"/>
      <x:c r="AM87" s="4" t="n">
        <x:v>6400000000000000</x:v>
      </x:c>
      <x:c r="AN87" s="4" t="n"/>
      <x:c r="AO87" s="4" t="n">
        <x:v>400000000000000</x:v>
      </x:c>
    </x:row>
    <x:row r="88" s="9" customFormat="1" ht="57.599998474121094" customHeight="1">
      <x:c r="A88" s="2" t="inlineStr">
        <x:is>
          <x:t xml:space="preserve">Huawei Ascend 910B1 (v2)</x:t>
        </x:is>
      </x:c>
      <x:c r="B88" s="2" t="str">
        <x:f>IFERROR(VLOOKUP(TRIM($A88),_classification_map!$A$2:$C$227,2,FALSE),"")</x:f>
        <x:v>Ascend 910B</x:v>
      </x:c>
      <x:c r="C88" s="2" t="str">
        <x:f>IFERROR(VLOOKUP(TRIM($A88),_classification_map!$A$2:$C$227,3,FALSE),"")</x:f>
        <x:v>Ascend</x:v>
      </x:c>
      <x:c r="D88" s="2" t="inlineStr">
        <x:is>
          <x:t xml:space="preserve">Huawei</x:t>
        </x:is>
      </x:c>
      <x:c r="E88" s="2" t="inlineStr">
        <x:is>
          <x:t xml:space="preserve">GPU</x:t>
        </x:is>
      </x:c>
      <x:c r="F88" s="2" t="n"/>
      <x:c r="G88" s="2" t="n"/>
      <x:c r="H88" s="3" t="n"/>
      <x:c r="I88" s="4" t="n"/>
      <x:c r="J88" s="4" t="n"/>
      <x:c r="K88" s="4" t="n"/>
      <x:c r="L88" s="4" t="n">
        <x:v>64000000000</x:v>
      </x:c>
      <x:c r="M88" s="4" t="n">
        <x:v>1600000000000</x:v>
      </x:c>
      <x:c r="N88" s="4" t="n"/>
      <x:c r="O88" s="4" t="n"/>
      <x:c r="P88" s="5" t="n"/>
      <x:c r="Q88" s="4" t="n"/>
      <x:c r="R88" s="4" t="n"/>
      <x:c r="S88" s="4" t="n"/>
      <x:c r="T88" s="4" t="n"/>
      <x:c r="U88" s="4" t="n"/>
      <x:c r="V88" s="4" t="n"/>
      <x:c r="W88" s="4" t="n"/>
      <x:c r="X88" s="2" t="inlineStr">
        <x:is>
          <x:t xml:space="preserve">SMIC</x:t>
        </x:is>
      </x:c>
      <x:c r="Y88" s="5" t="n"/>
      <x:c r="Z88" s="5" t="n"/>
      <x:c r="AA88" s="5" t="n"/>
      <x:c r="AB88" s="5" t="n">
        <x:v>1850</x:v>
      </x:c>
      <x:c r="AC88" s="5" t="n"/>
      <x:c r="AD88" s="5" t="n"/>
      <x:c r="AE88" s="5" t="n">
        <x:v>7</x:v>
      </x:c>
      <x:c r="AF88" s="5" t="n"/>
      <x:c r="AG88" s="2" t="inlineStr">
        <x:is>
          <x:t xml:space="preserve">https://cset.georgetown.edu/publication/pushing-the-limits-huaweis-ai-chip-tests-u-s-export-controls/#:~:text=Ascend%20910%20models%20range%20from,specially%20designed%20for%20AI%20operations</x:t>
        </x:is>
      </x:c>
      <x:c r="AH88" s="2" t="n"/>
      <x:c r="AI88" s="2" t="n"/>
      <x:c r="AJ88" s="2" t="inlineStr">
        <x:is>
          <x:t xml:space="preserve">2025-05-07 14:20:18+00:00</x:t>
        </x:is>
      </x:c>
      <x:c r="AK88" s="4" t="n">
        <x:v>0</x:v>
      </x:c>
      <x:c r="AL88" s="4" t="n"/>
      <x:c r="AM88" s="4" t="n"/>
      <x:c r="AN88" s="4" t="n"/>
      <x:c r="AO88" s="4" t="n">
        <x:v>0</x:v>
      </x:c>
    </x:row>
    <x:row r="89" s="9" customFormat="1" ht="57.599998474121094" customHeight="1">
      <x:c r="A89" s="2" t="inlineStr">
        <x:is>
          <x:t xml:space="preserve">Huawei Ascend 910B2</x:t>
        </x:is>
      </x:c>
      <x:c r="B89" s="2" t="str">
        <x:f>IFERROR(VLOOKUP(TRIM($A89),_classification_map!$A$2:$C$227,2,FALSE),"")</x:f>
        <x:v>Ascend 910B</x:v>
      </x:c>
      <x:c r="C89" s="2" t="str">
        <x:f>IFERROR(VLOOKUP(TRIM($A89),_classification_map!$A$2:$C$227,3,FALSE),"")</x:f>
        <x:v>Ascend</x:v>
      </x:c>
      <x:c r="D89" s="2" t="inlineStr">
        <x:is>
          <x:t xml:space="preserve">Huawei</x:t>
        </x:is>
      </x:c>
      <x:c r="E89" s="2" t="inlineStr">
        <x:is>
          <x:t xml:space="preserve">GPU</x:t>
        </x:is>
      </x:c>
      <x:c r="F89" s="2" t="n"/>
      <x:c r="G89" s="2" t="n"/>
      <x:c r="H89" s="3" t="n"/>
      <x:c r="I89" s="4" t="n"/>
      <x:c r="J89" s="4" t="n"/>
      <x:c r="K89" s="4" t="n"/>
      <x:c r="L89" s="4" t="n">
        <x:v>64000000000</x:v>
      </x:c>
      <x:c r="M89" s="4" t="n">
        <x:v>1600000000000</x:v>
      </x:c>
      <x:c r="N89" s="4" t="n"/>
      <x:c r="O89" s="4" t="n"/>
      <x:c r="P89" s="5" t="n"/>
      <x:c r="Q89" s="4" t="n"/>
      <x:c r="R89" s="4" t="n"/>
      <x:c r="S89" s="4" t="n"/>
      <x:c r="T89" s="4" t="n">
        <x:v>376000000000000</x:v>
      </x:c>
      <x:c r="U89" s="4" t="n"/>
      <x:c r="V89" s="4" t="n"/>
      <x:c r="W89" s="4" t="n"/>
      <x:c r="X89" s="2" t="inlineStr">
        <x:is>
          <x:t xml:space="preserve">SMIC</x:t>
        </x:is>
      </x:c>
      <x:c r="Y89" s="5" t="n"/>
      <x:c r="Z89" s="5" t="n"/>
      <x:c r="AA89" s="5" t="n"/>
      <x:c r="AB89" s="5" t="n">
        <x:v>1800</x:v>
      </x:c>
      <x:c r="AC89" s="5" t="n"/>
      <x:c r="AD89" s="5" t="n"/>
      <x:c r="AE89" s="5" t="n">
        <x:v>7</x:v>
      </x:c>
      <x:c r="AF89" s="5" t="n"/>
      <x:c r="AG89" s="2" t="inlineStr">
        <x:is>
          <x:t xml:space="preserve">https://cset.georgetown.edu/publication/pushing-the-limits-huaweis-ai-chip-tests-u-s-export-controls/#:~:text=Ascend%20910%20models%20range%20from,specially%20designed%20for%20AI%20operations</x:t>
        </x:is>
      </x:c>
      <x:c r="AH89" s="2" t="n"/>
      <x:c r="AI89" s="2" t="n"/>
      <x:c r="AJ89" s="2" t="inlineStr">
        <x:is>
          <x:t xml:space="preserve">2025-07-21 10:17:00+00:00</x:t>
        </x:is>
      </x:c>
      <x:c r="AK89" s="4" t="n">
        <x:v>376000000000000</x:v>
      </x:c>
      <x:c r="AL89" s="4" t="n"/>
      <x:c r="AM89" s="4" t="n">
        <x:v>6016000000000000</x:v>
      </x:c>
      <x:c r="AN89" s="4" t="n"/>
      <x:c r="AO89" s="4" t="n">
        <x:v>376000000000000</x:v>
      </x:c>
    </x:row>
    <x:row r="90" s="9" customFormat="1" ht="57.599998474121094" customHeight="1">
      <x:c r="A90" s="2" t="inlineStr">
        <x:is>
          <x:t xml:space="preserve">Huawei Ascend 910B3</x:t>
        </x:is>
      </x:c>
      <x:c r="B90" s="2" t="str">
        <x:f>IFERROR(VLOOKUP(TRIM($A90),_classification_map!$A$2:$C$227,2,FALSE),"")</x:f>
        <x:v>Ascend 910B</x:v>
      </x:c>
      <x:c r="C90" s="2" t="str">
        <x:f>IFERROR(VLOOKUP(TRIM($A90),_classification_map!$A$2:$C$227,3,FALSE),"")</x:f>
        <x:v>Ascend</x:v>
      </x:c>
      <x:c r="D90" s="2" t="inlineStr">
        <x:is>
          <x:t xml:space="preserve">Huawei</x:t>
        </x:is>
      </x:c>
      <x:c r="E90" s="2" t="inlineStr">
        <x:is>
          <x:t xml:space="preserve">GPU</x:t>
        </x:is>
      </x:c>
      <x:c r="F90" s="2" t="n"/>
      <x:c r="G90" s="2" t="n"/>
      <x:c r="H90" s="3" t="n"/>
      <x:c r="I90" s="4" t="n"/>
      <x:c r="J90" s="4" t="n"/>
      <x:c r="K90" s="4" t="n"/>
      <x:c r="L90" s="4" t="n">
        <x:v>64000000000</x:v>
      </x:c>
      <x:c r="M90" s="4" t="n">
        <x:v>1600000000000</x:v>
      </x:c>
      <x:c r="N90" s="4" t="n"/>
      <x:c r="O90" s="4" t="n"/>
      <x:c r="P90" s="5" t="n"/>
      <x:c r="Q90" s="4" t="n"/>
      <x:c r="R90" s="4" t="n"/>
      <x:c r="S90" s="4" t="n"/>
      <x:c r="T90" s="4" t="n">
        <x:v>313000000000000</x:v>
      </x:c>
      <x:c r="U90" s="4" t="n"/>
      <x:c r="V90" s="4" t="n"/>
      <x:c r="W90" s="4" t="n"/>
      <x:c r="X90" s="2" t="inlineStr">
        <x:is>
          <x:t xml:space="preserve">SMIC</x:t>
        </x:is>
      </x:c>
      <x:c r="Y90" s="5" t="n"/>
      <x:c r="Z90" s="5" t="n"/>
      <x:c r="AA90" s="5" t="n"/>
      <x:c r="AB90" s="5" t="n">
        <x:v>1800</x:v>
      </x:c>
      <x:c r="AC90" s="5" t="n"/>
      <x:c r="AD90" s="5" t="n"/>
      <x:c r="AE90" s="5" t="n">
        <x:v>7</x:v>
      </x:c>
      <x:c r="AF90" s="5" t="n"/>
      <x:c r="AG90" s="2" t="inlineStr">
        <x:is>
          <x:t xml:space="preserve">https://cset.georgetown.edu/publication/pushing-the-limits-huaweis-ai-chip-tests-u-s-export-controls/#:~:text=Ascend%20910%20models%20range%20from,specially%20designed%20for%20AI%20operations</x:t>
        </x:is>
      </x:c>
      <x:c r="AH90" s="2" t="n"/>
      <x:c r="AI90" s="2" t="n"/>
      <x:c r="AJ90" s="2" t="inlineStr">
        <x:is>
          <x:t xml:space="preserve">2025-07-21 10:17:00+00:00</x:t>
        </x:is>
      </x:c>
      <x:c r="AK90" s="4" t="n">
        <x:v>313000000000000</x:v>
      </x:c>
      <x:c r="AL90" s="4" t="n"/>
      <x:c r="AM90" s="4" t="n">
        <x:v>5008000000000000</x:v>
      </x:c>
      <x:c r="AN90" s="4" t="n"/>
      <x:c r="AO90" s="4" t="n">
        <x:v>313000000000000</x:v>
      </x:c>
    </x:row>
    <x:row r="91" s="9" customFormat="1" ht="86.4000015258789" customHeight="1">
      <x:c r="A91" s="2" t="inlineStr">
        <x:is>
          <x:t xml:space="preserve">NVIDIA RTX A6000</x:t>
        </x:is>
      </x:c>
      <x:c r="B91" s="2" t="str">
        <x:f>IFERROR(VLOOKUP(TRIM($A91),_classification_map!$A$2:$C$227,2,FALSE),"")</x:f>
        <x:v>Ampere</x:v>
      </x:c>
      <x:c r="C91" s="2" t="str">
        <x:f>IFERROR(VLOOKUP(TRIM($A91),_classification_map!$A$2:$C$227,3,FALSE),"")</x:f>
        <x:v>RTX Workstation</x:v>
      </x:c>
      <x:c r="D91" s="2" t="inlineStr">
        <x:is>
          <x:t xml:space="preserve">NVIDIA</x:t>
        </x:is>
      </x:c>
      <x:c r="E91" s="2" t="inlineStr">
        <x:is>
          <x:t xml:space="preserve">GPU</x:t>
        </x:is>
      </x:c>
      <x:c r="F91" s="2" t="n"/>
      <x:c r="G91" s="2" t="inlineStr">
        <x:is>
          <x:t xml:space="preserve">2020-10-05</x:t>
        </x:is>
      </x:c>
      <x:c r="H91" s="3" t="n">
        <x:v>4649</x:v>
      </x:c>
      <x:c r="I91" s="4" t="n">
        <x:v>119100000000000</x:v>
      </x:c>
      <x:c r="J91" s="4" t="n"/>
      <x:c r="K91" s="4" t="n"/>
      <x:c r="L91" s="4" t="n">
        <x:v>48000000000</x:v>
      </x:c>
      <x:c r="M91" s="4" t="n">
        <x:v>768000000000</x:v>
      </x:c>
      <x:c r="N91" s="4" t="n"/>
      <x:c r="O91" s="4" t="n"/>
      <x:c r="P91" s="5" t="n">
        <x:v>300</x:v>
      </x:c>
      <x:c r="Q91" s="4" t="n">
        <x:v>1210000000000</x:v>
      </x:c>
      <x:c r="R91" s="4" t="n">
        <x:v>38700000000000</x:v>
      </x:c>
      <x:c r="S91" s="4" t="n"/>
      <x:c r="T91" s="4" t="n">
        <x:v>38700000000000</x:v>
      </x:c>
      <x:c r="U91" s="4" t="n"/>
      <x:c r="V91" s="4" t="n"/>
      <x:c r="W91" s="4" t="n"/>
      <x:c r="X91" s="2" t="inlineStr">
        <x:is>
          <x:t xml:space="preserve">Samsung</x:t>
        </x:is>
      </x:c>
      <x:c r="Y91" s="5" t="n">
        <x:v>628</x:v>
      </x:c>
      <x:c r="Z91" s="5" t="n">
        <x:v>1410</x:v>
      </x:c>
      <x:c r="AA91" s="5" t="n">
        <x:v>1800</x:v>
      </x:c>
      <x:c r="AB91" s="5" t="n">
        <x:v>2000</x:v>
      </x:c>
      <x:c r="AC91" s="5" t="n">
        <x:v>384</x:v>
      </x:c>
      <x:c r="AD91" s="5" t="n">
        <x:v>336</x:v>
      </x:c>
      <x:c r="AE91" s="5" t="n">
        <x:v>8</x:v>
      </x:c>
      <x:c r="AF91" s="5" t="n">
        <x:v>28300</x:v>
      </x:c>
      <x:c r="AG91" s="2" t="inlineStr">
        <x:is>
          <x:t xml:space="preserve">https://www.techpowerup.com/gpu-specs/rtx-a6000.c3686</x:t>
        </x:is>
      </x:c>
      <x:c r="AH91" s="2" t="inlineStr">
        <x:is>
          <x:t xml:space="preserve">https://wccftech.com/nvidia-rtx-a6000-48-gb-workstation-graphics-card-full-ga102-gpu-4650-us/</x:t>
        </x:is>
      </x:c>
      <x:c r="AI91" s="2" t="inlineStr">
        <x:is>
          <x:t xml:space="preserve">DiffDock,QMoE: compressed SwitchTransformer,DeepUrfold,llama-3-airoboros-70b-3.3,Mdgen,Precious3GPT,P-Llama2,AbGPT,P-LLama3,ProLLaMA,DiscDiff,Improved motif-scaffolding with SE(3) flow matching,P-gemma,P-Mistral,NAEPro,RoseTTAFold All-Atom (RFAA),VASA-1,Repress</x:t>
        </x:is>
      </x:c>
      <x:c r="AJ91" s="2" t="inlineStr">
        <x:is>
          <x:t xml:space="preserve">2026-03-18 12:56:18+00:00</x:t>
        </x:is>
      </x:c>
      <x:c r="AK91" s="4" t="n">
        <x:v>38700000000000</x:v>
      </x:c>
      <x:c r="AL91" s="4" t="n">
        <x:v>129000000000</x:v>
      </x:c>
      <x:c r="AM91" s="4" t="n">
        <x:v>1238400000000000</x:v>
      </x:c>
      <x:c r="AN91" s="4" t="n">
        <x:v>8324370832.43708</x:v>
      </x:c>
      <x:c r="AO91" s="4" t="n">
        <x:v>38700000000000</x:v>
      </x:c>
    </x:row>
    <x:row r="92" s="9" customFormat="1" ht="216" customHeight="1">
      <x:c r="A92" s="2" t="inlineStr">
        <x:is>
          <x:t xml:space="preserve">Google TPU v6e Trillium</x:t>
        </x:is>
      </x:c>
      <x:c r="B92" s="2" t="str">
        <x:f>IFERROR(VLOOKUP(TRIM($A92),_classification_map!$A$2:$C$227,2,FALSE),"")</x:f>
        <x:v>TPU v6e</x:v>
      </x:c>
      <x:c r="C92" s="2" t="str">
        <x:f>IFERROR(VLOOKUP(TRIM($A92),_classification_map!$A$2:$C$227,3,FALSE),"")</x:f>
        <x:v>TPU</x:v>
      </x:c>
      <x:c r="D92" s="2" t="inlineStr">
        <x:is>
          <x:t xml:space="preserve">Google</x:t>
        </x:is>
      </x:c>
      <x:c r="E92" s="2" t="inlineStr">
        <x:is>
          <x:t xml:space="preserve">TPU</x:t>
        </x:is>
      </x:c>
      <x:c r="F92" s="2" t="inlineStr">
        <x:is>
          <x:t xml:space="preserve">Google does not officially state TPUv6's TDP. In the blog post announcing TPUv7 (https://blog.google/products/google-cloud/ironwood-tpu-age-of-inference/ ), Google disclosed that TPUv6 is 14.6x more efficient than the TPUv2 in peak FLOP/s per TDP (measuring peak FLOP/s as either FP8 or bf16 FLOP/s when FP8 is not supported). 
TPUv2 does 46 TFLOP/s peak and has a TDP of 280 W. TPUv6 does 918 TFLOP/s peak (FP8). 
So the TPUv6's TDP is (918 TFLOP/s / 46 TFLOP/s) * 280 W / 14.6x efficiency = ~383 W. Note that this may be a slightly approximate figure due to rounding on Google's part. We round to 380 W.</x:t>
        </x:is>
      </x:c>
      <x:c r="G92" s="2" t="inlineStr">
        <x:is>
          <x:t xml:space="preserve">2024-05-14</x:t>
        </x:is>
      </x:c>
      <x:c r="H92" s="3" t="n"/>
      <x:c r="I92" s="4" t="n">
        <x:v>918000000000000</x:v>
      </x:c>
      <x:c r="J92" s="4" t="n">
        <x:v>918000000000000</x:v>
      </x:c>
      <x:c r="K92" s="4" t="n"/>
      <x:c r="L92" s="4" t="n">
        <x:v>32000000000</x:v>
      </x:c>
      <x:c r="M92" s="4" t="n">
        <x:v>1640000000000</x:v>
      </x:c>
      <x:c r="N92" s="4" t="n">
        <x:v>448000000000</x:v>
      </x:c>
      <x:c r="O92" s="4" t="n"/>
      <x:c r="P92" s="5" t="n">
        <x:v>380</x:v>
      </x:c>
      <x:c r="Q92" s="4" t="n"/>
      <x:c r="R92" s="4" t="n"/>
      <x:c r="S92" s="4" t="n"/>
      <x:c r="T92" s="4" t="n"/>
      <x:c r="U92" s="4" t="n"/>
      <x:c r="V92" s="4" t="n">
        <x:v>1836000000000000</x:v>
      </x:c>
      <x:c r="W92" s="4" t="n"/>
      <x:c r="X92" s="2" t="n"/>
      <x:c r="Y92" s="5" t="n"/>
      <x:c r="Z92" s="5" t="n"/>
      <x:c r="AA92" s="5" t="n"/>
      <x:c r="AB92" s="5" t="n"/>
      <x:c r="AC92" s="5" t="n"/>
      <x:c r="AD92" s="5" t="n"/>
      <x:c r="AE92" s="5" t="n"/>
      <x:c r="AF92" s="5" t="n"/>
      <x:c r="AG92" s="2" t="inlineStr">
        <x:is>
          <x:t xml:space="preserve">https://cloud.google.com/tpu/docs/v6e</x:t>
        </x:is>
      </x:c>
      <x:c r="AH92" s="2" t="n"/>
      <x:c r="AI92" s="2" t="inlineStr">
        <x:is>
          <x:t xml:space="preserve">Gemini 2.0 Flash,Gemini 2.0 Flash-Lite,FGN,DataRater test model (1B),Gemini Robotics-ER 1.5,Gemini Robotics 1.5 </x:t>
        </x:is>
      </x:c>
      <x:c r="AJ92" s="2" t="inlineStr">
        <x:is>
          <x:t xml:space="preserve">2026-03-18 12:56:18+00:00</x:t>
        </x:is>
      </x:c>
      <x:c r="AK92" s="4" t="n">
        <x:v>1836000000000000</x:v>
      </x:c>
      <x:c r="AL92" s="4" t="n">
        <x:v>4831578947368.42</x:v>
      </x:c>
      <x:c r="AM92" s="4" t="n">
        <x:v>1.4688e+16</x:v>
      </x:c>
      <x:c r="AN92" s="4" t="n"/>
      <x:c r="AO92" s="4" t="n">
        <x:v>1836000000000000</x:v>
      </x:c>
    </x:row>
    <x:row r="93" s="9" customFormat="1" ht="28.799999237060547" customHeight="1">
      <x:c r="A93" s="2" t="inlineStr">
        <x:is>
          <x:t xml:space="preserve">NVIDIA GeForce RTX 3080</x:t>
        </x:is>
      </x:c>
      <x:c r="B93" s="2" t="str">
        <x:f>IFERROR(VLOOKUP(TRIM($A93),_classification_map!$A$2:$C$227,2,FALSE),"")</x:f>
        <x:v>Ampere</x:v>
      </x:c>
      <x:c r="C93" s="2" t="str">
        <x:f>IFERROR(VLOOKUP(TRIM($A93),_classification_map!$A$2:$C$227,3,FALSE),"")</x:f>
        <x:v>GeForce RTX</x:v>
      </x:c>
      <x:c r="D93" s="2" t="inlineStr">
        <x:is>
          <x:t xml:space="preserve">NVIDIA</x:t>
        </x:is>
      </x:c>
      <x:c r="E93" s="2" t="inlineStr">
        <x:is>
          <x:t xml:space="preserve">GPU</x:t>
        </x:is>
      </x:c>
      <x:c r="F93" s="2" t="n"/>
      <x:c r="G93" s="2" t="inlineStr">
        <x:is>
          <x:t xml:space="preserve">2020-09-01</x:t>
        </x:is>
      </x:c>
      <x:c r="H93" s="3" t="n">
        <x:v>699</x:v>
      </x:c>
      <x:c r="I93" s="4" t="n"/>
      <x:c r="J93" s="4" t="n"/>
      <x:c r="K93" s="4" t="n"/>
      <x:c r="L93" s="4" t="n">
        <x:v>10000000000</x:v>
      </x:c>
      <x:c r="M93" s="4" t="n">
        <x:v>760000000000</x:v>
      </x:c>
      <x:c r="N93" s="4" t="n"/>
      <x:c r="O93" s="4" t="n"/>
      <x:c r="P93" s="5" t="n">
        <x:v>320</x:v>
      </x:c>
      <x:c r="Q93" s="4" t="n">
        <x:v>465100000000</x:v>
      </x:c>
      <x:c r="R93" s="4" t="n">
        <x:v>29770000000000</x:v>
      </x:c>
      <x:c r="S93" s="4" t="n"/>
      <x:c r="T93" s="4" t="n">
        <x:v>29770000000000</x:v>
      </x:c>
      <x:c r="U93" s="4" t="n"/>
      <x:c r="V93" s="4" t="n"/>
      <x:c r="W93" s="4" t="n"/>
      <x:c r="X93" s="2" t="inlineStr">
        <x:is>
          <x:t xml:space="preserve">Samsung</x:t>
        </x:is>
      </x:c>
      <x:c r="Y93" s="5" t="n">
        <x:v>628</x:v>
      </x:c>
      <x:c r="Z93" s="5" t="n">
        <x:v>1440</x:v>
      </x:c>
      <x:c r="AA93" s="5" t="n">
        <x:v>1710</x:v>
      </x:c>
      <x:c r="AB93" s="5" t="n">
        <x:v>1188</x:v>
      </x:c>
      <x:c r="AC93" s="5" t="n">
        <x:v>320</x:v>
      </x:c>
      <x:c r="AD93" s="5" t="n">
        <x:v>272</x:v>
      </x:c>
      <x:c r="AE93" s="5" t="n">
        <x:v>8</x:v>
      </x:c>
      <x:c r="AF93" s="5" t="n">
        <x:v>28300</x:v>
      </x:c>
      <x:c r="AG93" s="2" t="inlineStr">
        <x:is>
          <x:t xml:space="preserve">https://www.techpowerup.com/gpu-specs/geforce-rtx-3080.c3621</x:t>
        </x:is>
      </x:c>
      <x:c r="AH93" s="2" t="inlineStr">
        <x:is>
          <x:t xml:space="preserve">https://www.tomsguide.com/news/nvidia-geforce-rtx-3080-ti</x:t>
        </x:is>
      </x:c>
      <x:c r="AI93" s="2" t="inlineStr">
        <x:is>
          <x:t xml:space="preserve">MTDP,ConoDL</x:t>
        </x:is>
      </x:c>
      <x:c r="AJ93" s="2" t="inlineStr">
        <x:is>
          <x:t xml:space="preserve">2026-03-18 12:56:18+00:00</x:t>
        </x:is>
      </x:c>
      <x:c r="AK93" s="4" t="n">
        <x:v>29770000000000</x:v>
      </x:c>
      <x:c r="AL93" s="4" t="n">
        <x:v>93031250000</x:v>
      </x:c>
      <x:c r="AM93" s="4" t="n">
        <x:v>952640000000000</x:v>
      </x:c>
      <x:c r="AN93" s="4" t="n">
        <x:v>42589413447.7825</x:v>
      </x:c>
      <x:c r="AO93" s="4" t="n">
        <x:v>29770000000000</x:v>
      </x:c>
    </x:row>
    <x:row r="94" s="9" customFormat="1" ht="72" customHeight="1">
      <x:c r="A94" s="2" t="inlineStr">
        <x:is>
          <x:t xml:space="preserve">NVIDIA GeForce RTX 3090</x:t>
        </x:is>
      </x:c>
      <x:c r="B94" s="2" t="str">
        <x:f>IFERROR(VLOOKUP(TRIM($A94),_classification_map!$A$2:$C$227,2,FALSE),"")</x:f>
        <x:v>Ampere</x:v>
      </x:c>
      <x:c r="C94" s="2" t="str">
        <x:f>IFERROR(VLOOKUP(TRIM($A94),_classification_map!$A$2:$C$227,3,FALSE),"")</x:f>
        <x:v>GeForce RTX</x:v>
      </x:c>
      <x:c r="D94" s="2" t="inlineStr">
        <x:is>
          <x:t xml:space="preserve">NVIDIA</x:t>
        </x:is>
      </x:c>
      <x:c r="E94" s="2" t="inlineStr">
        <x:is>
          <x:t xml:space="preserve">GPU</x:t>
        </x:is>
      </x:c>
      <x:c r="F94" s="2" t="inlineStr">
        <x:is>
          <x:t xml:space="preserve">We divide performance by 2 to convert it from performance over sparse matrices to performance over dense matrices.</x:t>
        </x:is>
      </x:c>
      <x:c r="G94" s="2" t="inlineStr">
        <x:is>
          <x:t xml:space="preserve">2020-09-01</x:t>
        </x:is>
      </x:c>
      <x:c r="H94" s="3" t="n">
        <x:v>1499</x:v>
      </x:c>
      <x:c r="I94" s="4" t="n">
        <x:v>71000000000000</x:v>
      </x:c>
      <x:c r="J94" s="4" t="n"/>
      <x:c r="K94" s="4" t="n"/>
      <x:c r="L94" s="4" t="n">
        <x:v>24000000000</x:v>
      </x:c>
      <x:c r="M94" s="4" t="n">
        <x:v>936000000000</x:v>
      </x:c>
      <x:c r="N94" s="4" t="n"/>
      <x:c r="O94" s="4" t="n"/>
      <x:c r="P94" s="5" t="n">
        <x:v>350</x:v>
      </x:c>
      <x:c r="Q94" s="4" t="n">
        <x:v>556000000000</x:v>
      </x:c>
      <x:c r="R94" s="4" t="n">
        <x:v>35580000000000</x:v>
      </x:c>
      <x:c r="S94" s="4" t="n"/>
      <x:c r="T94" s="4" t="n">
        <x:v>35580000000000</x:v>
      </x:c>
      <x:c r="U94" s="4" t="n">
        <x:v>143000000000000</x:v>
      </x:c>
      <x:c r="V94" s="4" t="n">
        <x:v>284000000000000</x:v>
      </x:c>
      <x:c r="W94" s="4" t="n"/>
      <x:c r="X94" s="2" t="inlineStr">
        <x:is>
          <x:t xml:space="preserve">Samsung</x:t>
        </x:is>
      </x:c>
      <x:c r="Y94" s="5" t="n">
        <x:v>628</x:v>
      </x:c>
      <x:c r="Z94" s="5" t="n">
        <x:v>1395</x:v>
      </x:c>
      <x:c r="AA94" s="5" t="n">
        <x:v>1695</x:v>
      </x:c>
      <x:c r="AB94" s="5" t="n">
        <x:v>1219</x:v>
      </x:c>
      <x:c r="AC94" s="5" t="n">
        <x:v>384</x:v>
      </x:c>
      <x:c r="AD94" s="5" t="n">
        <x:v>328</x:v>
      </x:c>
      <x:c r="AE94" s="5" t="n">
        <x:v>8</x:v>
      </x:c>
      <x:c r="AF94" s="5" t="n">
        <x:v>28300</x:v>
      </x:c>
      <x:c r="AG94" s="2" t="inlineStr">
        <x:is>
          <x:t xml:space="preserve">https://images.nvidia.com/aem-dam/en-zz/Solutions/geforce/ampere/pdf/NVIDIA-ampere-GA102-GPU-Architecture-Whitepaper-V1.pdf#page=38; https://www.techpowerup.com/gpu-specs/geforce-rtx-3090.c3622</x:t>
        </x:is>
      </x:c>
      <x:c r="AH94" s="2" t="inlineStr">
        <x:is>
          <x:t xml:space="preserve">https://www.tomsguide.com/news/nvidia-geforce-rtx-3090</x:t>
        </x:is>
      </x:c>
      <x:c r="AI94" s="2" t="inlineStr">
        <x:is>
          <x:t xml:space="preserve">Swift,Robot Parkour,Otter,FinGPT-13B,DeepSA,NLM,MPDF,Text2Protein,TAWFN,Transformer + GFM,Transformer-XL + PowerSGD + L-Greco,DualNetGO,scHyena,Protein-Mamba,RNA-FrameFlow,BiRNA-BERT</x:t>
        </x:is>
      </x:c>
      <x:c r="AJ94" s="2" t="inlineStr">
        <x:is>
          <x:t xml:space="preserve">2026-03-18 12:56:18+00:00</x:t>
        </x:is>
      </x:c>
      <x:c r="AK94" s="4" t="n">
        <x:v>284000000000000</x:v>
      </x:c>
      <x:c r="AL94" s="4" t="n">
        <x:v>811428571428.571</x:v>
      </x:c>
      <x:c r="AM94" s="4" t="n">
        <x:v>2288000000000000</x:v>
      </x:c>
      <x:c r="AN94" s="4" t="n">
        <x:v>189459639759.84</x:v>
      </x:c>
      <x:c r="AO94" s="4" t="n">
        <x:v>284000000000000</x:v>
      </x:c>
    </x:row>
    <x:row r="95" s="9" customFormat="1" ht="86.4000015258789" customHeight="1">
      <x:c r="A95" s="2" t="inlineStr">
        <x:is>
          <x:t xml:space="preserve">Biren BR100</x:t>
        </x:is>
      </x:c>
      <x:c r="B95" s="2" t="str">
        <x:f>IFERROR(VLOOKUP(TRIM($A95),_classification_map!$A$2:$C$227,2,FALSE),"")</x:f>
        <x:v>BR100</x:v>
      </x:c>
      <x:c r="C95" s="2" t="str">
        <x:f>IFERROR(VLOOKUP(TRIM($A95),_classification_map!$A$2:$C$227,3,FALSE),"")</x:f>
        <x:v>BR</x:v>
      </x:c>
      <x:c r="D95" s="2" t="inlineStr">
        <x:is>
          <x:t xml:space="preserve">Biren</x:t>
        </x:is>
      </x:c>
      <x:c r="E95" s="2" t="inlineStr">
        <x:is>
          <x:t xml:space="preserve">GPGPU</x:t>
        </x:is>
      </x:c>
      <x:c r="F95" s="2" t="n"/>
      <x:c r="G95" s="2" t="inlineStr">
        <x:is>
          <x:t xml:space="preserve">2022-08-22</x:t>
        </x:is>
      </x:c>
      <x:c r="H95" s="3" t="n"/>
      <x:c r="I95" s="4" t="n">
        <x:v>1024000000000000</x:v>
      </x:c>
      <x:c r="J95" s="4" t="n"/>
      <x:c r="K95" s="4" t="n"/>
      <x:c r="L95" s="4" t="n">
        <x:v>64000000000</x:v>
      </x:c>
      <x:c r="M95" s="4" t="n">
        <x:v>1640000000000</x:v>
      </x:c>
      <x:c r="N95" s="4" t="n">
        <x:v>412000000000</x:v>
      </x:c>
      <x:c r="O95" s="4" t="n"/>
      <x:c r="P95" s="5" t="n">
        <x:v>550</x:v>
      </x:c>
      <x:c r="Q95" s="4" t="n"/>
      <x:c r="R95" s="4" t="n">
        <x:v>256000000000000</x:v>
      </x:c>
      <x:c r="S95" s="4" t="n">
        <x:v>512000000000000</x:v>
      </x:c>
      <x:c r="T95" s="4" t="n"/>
      <x:c r="U95" s="4" t="n"/>
      <x:c r="V95" s="4" t="n">
        <x:v>2048000000000000</x:v>
      </x:c>
      <x:c r="W95" s="4" t="n"/>
      <x:c r="X95" s="2" t="n"/>
      <x:c r="Y95" s="5" t="n">
        <x:v>1074</x:v>
      </x:c>
      <x:c r="Z95" s="5" t="n"/>
      <x:c r="AA95" s="5" t="n"/>
      <x:c r="AB95" s="5" t="n"/>
      <x:c r="AC95" s="5" t="n"/>
      <x:c r="AD95" s="5" t="n"/>
      <x:c r="AE95" s="5" t="n">
        <x:v>7</x:v>
      </x:c>
      <x:c r="AF95" s="5" t="n"/>
      <x:c r="AG95" s="2" t="inlineStr">
        <x:is>
          <x:t xml:space="preserve">https://web.archive.org/web/20221004073838/https://www.birentech.com/product_details/1005557637772464128.html; https://hc34.hotchips.org/assets/program/conference/day1/GPU%20HPC/HC2022.BirenTech.MikeHong.LingjieXu.v01.pdf</x:t>
        </x:is>
      </x:c>
      <x:c r="AH95" s="2" t="n"/>
      <x:c r="AI95" s="2" t="n"/>
      <x:c r="AJ95" s="2" t="inlineStr">
        <x:is>
          <x:t xml:space="preserve">2025-10-10 16:01:02+00:00</x:t>
        </x:is>
      </x:c>
      <x:c r="AK95" s="4" t="n">
        <x:v>2048000000000000</x:v>
      </x:c>
      <x:c r="AL95" s="4" t="n">
        <x:v>3723636363636.36</x:v>
      </x:c>
      <x:c r="AM95" s="4" t="n">
        <x:v>1.6384e+16</x:v>
      </x:c>
      <x:c r="AN95" s="4" t="n"/>
      <x:c r="AO95" s="4" t="n">
        <x:v>2048000000000000</x:v>
      </x:c>
    </x:row>
    <x:row r="96" s="9" customFormat="1" ht="43.20000076293945" customHeight="1">
      <x:c r="A96" s="2" t="inlineStr">
        <x:is>
          <x:t xml:space="preserve">NVIDIA A800 PCIe 80 GB</x:t>
        </x:is>
      </x:c>
      <x:c r="B96" s="2" t="str">
        <x:f>IFERROR(VLOOKUP(TRIM($A96),_classification_map!$A$2:$C$227,2,FALSE),"")</x:f>
        <x:v>Ampere</x:v>
      </x:c>
      <x:c r="C96" s="2" t="str">
        <x:f>IFERROR(VLOOKUP(TRIM($A96),_classification_map!$A$2:$C$227,3,FALSE),"")</x:f>
        <x:v>Datacenter A-series</x:v>
      </x:c>
      <x:c r="D96" s="2" t="inlineStr">
        <x:is>
          <x:t xml:space="preserve">NVIDIA</x:t>
        </x:is>
      </x:c>
      <x:c r="E96" s="2" t="inlineStr">
        <x:is>
          <x:t xml:space="preserve">GPU</x:t>
        </x:is>
      </x:c>
      <x:c r="F96" s="2" t="n"/>
      <x:c r="G96" s="2" t="inlineStr">
        <x:is>
          <x:t xml:space="preserve">2022-11-03</x:t>
        </x:is>
      </x:c>
      <x:c r="H96" s="3" t="n"/>
      <x:c r="I96" s="4" t="n">
        <x:v>312000000000000</x:v>
      </x:c>
      <x:c r="J96" s="4" t="n"/>
      <x:c r="K96" s="4" t="n"/>
      <x:c r="L96" s="4" t="n"/>
      <x:c r="M96" s="4" t="n">
        <x:v>1940000000000</x:v>
      </x:c>
      <x:c r="N96" s="4" t="n"/>
      <x:c r="O96" s="4" t="n"/>
      <x:c r="P96" s="5" t="n">
        <x:v>250</x:v>
      </x:c>
      <x:c r="Q96" s="4" t="n">
        <x:v>9746000000000</x:v>
      </x:c>
      <x:c r="R96" s="4" t="n">
        <x:v>19490000000000</x:v>
      </x:c>
      <x:c r="S96" s="4" t="n">
        <x:v>156000000000000</x:v>
      </x:c>
      <x:c r="T96" s="4" t="n">
        <x:v>77970000000000</x:v>
      </x:c>
      <x:c r="U96" s="4" t="n"/>
      <x:c r="V96" s="4" t="n">
        <x:v>624000000000000</x:v>
      </x:c>
      <x:c r="W96" s="4" t="n"/>
      <x:c r="X96" s="2" t="inlineStr">
        <x:is>
          <x:t xml:space="preserve">TSMC</x:t>
        </x:is>
      </x:c>
      <x:c r="Y96" s="5" t="n">
        <x:v>826</x:v>
      </x:c>
      <x:c r="Z96" s="5" t="n"/>
      <x:c r="AA96" s="5" t="n">
        <x:v>1410</x:v>
      </x:c>
      <x:c r="AB96" s="5" t="n"/>
      <x:c r="AC96" s="5" t="n"/>
      <x:c r="AD96" s="5" t="n">
        <x:v>432</x:v>
      </x:c>
      <x:c r="AE96" s="5" t="n">
        <x:v>7</x:v>
      </x:c>
      <x:c r="AF96" s="5" t="n"/>
      <x:c r="AG96" s="2" t="inlineStr">
        <x:is>
          <x:t xml:space="preserve">https://www.techpowerup.com/gpu-specs/a800-pcie-80-gb.c3965
https://www.unixcloud.ltd/product/nvidia-a800/# </x:t>
        </x:is>
      </x:c>
      <x:c r="AH96" s="2" t="n"/>
      <x:c r="AI96" s="2" t="inlineStr">
        <x:is>
          <x:t xml:space="preserve">Xinyu,MindLink-72B,MindLink-32B,XuanYuan-70B,Aquila2‑70B‑Expr,Eurus-2-7B-PRIME</x:t>
        </x:is>
      </x:c>
      <x:c r="AJ96" s="2" t="inlineStr">
        <x:is>
          <x:t xml:space="preserve">2026-03-18 12:56:18+00:00</x:t>
        </x:is>
      </x:c>
      <x:c r="AK96" s="4" t="n">
        <x:v>624000000000000</x:v>
      </x:c>
      <x:c r="AL96" s="4" t="n">
        <x:v>2496000000000</x:v>
      </x:c>
      <x:c r="AM96" s="4" t="n">
        <x:v>4988800000000000</x:v>
      </x:c>
      <x:c r="AN96" s="4" t="n"/>
      <x:c r="AO96" s="4" t="n">
        <x:v>624000000000000</x:v>
      </x:c>
    </x:row>
    <x:row r="97" s="9" customFormat="1" ht="57.599998474121094" customHeight="1">
      <x:c r="A97" s="2" t="inlineStr">
        <x:is>
          <x:t xml:space="preserve">NVIDIA A100 PCIe 80GB</x:t>
        </x:is>
      </x:c>
      <x:c r="B97" s="2" t="str">
        <x:f>IFERROR(VLOOKUP(TRIM($A97),_classification_map!$A$2:$C$227,2,FALSE),"")</x:f>
        <x:v>Ampere</x:v>
      </x:c>
      <x:c r="C97" s="2" t="str">
        <x:f>IFERROR(VLOOKUP(TRIM($A97),_classification_map!$A$2:$C$227,3,FALSE),"")</x:f>
        <x:v>Datacenter A-series</x:v>
      </x:c>
      <x:c r="D97" s="2" t="inlineStr">
        <x:is>
          <x:t xml:space="preserve">NVIDIA</x:t>
        </x:is>
      </x:c>
      <x:c r="E97" s="2" t="inlineStr">
        <x:is>
          <x:t xml:space="preserve">GPU</x:t>
        </x:is>
      </x:c>
      <x:c r="F97" s="2" t="n"/>
      <x:c r="G97" s="2" t="inlineStr">
        <x:is>
          <x:t xml:space="preserve">2021-06-28</x:t>
        </x:is>
      </x:c>
      <x:c r="H97" s="3" t="n"/>
      <x:c r="I97" s="4" t="n">
        <x:v>312000000000000</x:v>
      </x:c>
      <x:c r="J97" s="4" t="n"/>
      <x:c r="K97" s="4" t="n"/>
      <x:c r="L97" s="4" t="n">
        <x:v>80000000000</x:v>
      </x:c>
      <x:c r="M97" s="4" t="n">
        <x:v>1940000000000</x:v>
      </x:c>
      <x:c r="N97" s="4" t="n">
        <x:v>600000000000</x:v>
      </x:c>
      <x:c r="O97" s="4" t="n">
        <x:v>200000000000</x:v>
      </x:c>
      <x:c r="P97" s="5" t="n">
        <x:v>300</x:v>
      </x:c>
      <x:c r="Q97" s="4" t="n">
        <x:v>9746000000000</x:v>
      </x:c>
      <x:c r="R97" s="4" t="n">
        <x:v>19490000000000</x:v>
      </x:c>
      <x:c r="S97" s="4" t="n">
        <x:v>156000000000000</x:v>
      </x:c>
      <x:c r="T97" s="4" t="n">
        <x:v>77970000000000</x:v>
      </x:c>
      <x:c r="U97" s="4" t="n"/>
      <x:c r="V97" s="4" t="n">
        <x:v>624000000000000</x:v>
      </x:c>
      <x:c r="W97" s="4" t="n"/>
      <x:c r="X97" s="2" t="inlineStr">
        <x:is>
          <x:t xml:space="preserve">TSMC</x:t>
        </x:is>
      </x:c>
      <x:c r="Y97" s="5" t="n">
        <x:v>826</x:v>
      </x:c>
      <x:c r="Z97" s="5" t="n"/>
      <x:c r="AA97" s="5" t="n"/>
      <x:c r="AB97" s="5" t="n"/>
      <x:c r="AC97" s="5" t="n">
        <x:v>5120</x:v>
      </x:c>
      <x:c r="AD97" s="5" t="n">
        <x:v>432</x:v>
      </x:c>
      <x:c r="AE97" s="5" t="n">
        <x:v>7</x:v>
      </x:c>
      <x:c r="AF97" s="5" t="n">
        <x:v>54200</x:v>
      </x:c>
      <x:c r="AG97" s="2" t="inlineStr">
        <x:is>
          <x:t xml:space="preserve">https://www.techpowerup.com/gpu-specs/a100-pcie-80-gb.c3821
https://www.techpowerup.com/gpu-specs/a100-pcie-40-gb.c3623</x:t>
        </x:is>
      </x:c>
      <x:c r="AH97" s="2" t="n"/>
      <x:c r="AI97" s="2" t="inlineStr">
        <x:is>
          <x:t xml:space="preserve">Discriminator Guidance,YuYan 11B,FvFold,Stable Diffusion 1.1,Stable Diffusion 1.4,Stable Diffusion 1.2,Stable Diffusion 1.5</x:t>
        </x:is>
      </x:c>
      <x:c r="AJ97" s="2" t="inlineStr">
        <x:is>
          <x:t xml:space="preserve">2025-10-29 21:57:38+00:00</x:t>
        </x:is>
      </x:c>
      <x:c r="AK97" s="4" t="n">
        <x:v>624000000000000</x:v>
      </x:c>
      <x:c r="AL97" s="4" t="n">
        <x:v>2080000000000</x:v>
      </x:c>
      <x:c r="AM97" s="4" t="n">
        <x:v>4992000000000000</x:v>
      </x:c>
      <x:c r="AN97" s="4" t="n"/>
      <x:c r="AO97" s="4" t="n">
        <x:v>624000000000000</x:v>
      </x:c>
    </x:row>
    <x:row r="98" s="9" customFormat="1" ht="57.599998474121094" customHeight="1">
      <x:c r="A98" s="2" t="inlineStr">
        <x:is>
          <x:t xml:space="preserve">NVIDIA A100 PCIe</x:t>
        </x:is>
      </x:c>
      <x:c r="B98" s="2" t="str">
        <x:f>IFERROR(VLOOKUP(TRIM($A98),_classification_map!$A$2:$C$227,2,FALSE),"")</x:f>
        <x:v>Ampere</x:v>
      </x:c>
      <x:c r="C98" s="2" t="str">
        <x:f>IFERROR(VLOOKUP(TRIM($A98),_classification_map!$A$2:$C$227,3,FALSE),"")</x:f>
        <x:v>Datacenter A-series</x:v>
      </x:c>
      <x:c r="D98" s="2" t="inlineStr">
        <x:is>
          <x:t xml:space="preserve">NVIDIA</x:t>
        </x:is>
      </x:c>
      <x:c r="E98" s="2" t="inlineStr">
        <x:is>
          <x:t xml:space="preserve">GPU</x:t>
        </x:is>
      </x:c>
      <x:c r="F98" s="2" t="n"/>
      <x:c r="G98" s="2" t="inlineStr">
        <x:is>
          <x:t xml:space="preserve">2020-06-22</x:t>
        </x:is>
      </x:c>
      <x:c r="H98" s="3" t="n"/>
      <x:c r="I98" s="4" t="n">
        <x:v>312000000000000</x:v>
      </x:c>
      <x:c r="J98" s="4" t="n"/>
      <x:c r="K98" s="4" t="n"/>
      <x:c r="L98" s="4" t="n">
        <x:v>40000000000</x:v>
      </x:c>
      <x:c r="M98" s="4" t="n">
        <x:v>1940000000000</x:v>
      </x:c>
      <x:c r="N98" s="4" t="n">
        <x:v>600000000000</x:v>
      </x:c>
      <x:c r="O98" s="4" t="n">
        <x:v>200000000000</x:v>
      </x:c>
      <x:c r="P98" s="5" t="n">
        <x:v>300</x:v>
      </x:c>
      <x:c r="Q98" s="4" t="n">
        <x:v>9746000000000</x:v>
      </x:c>
      <x:c r="R98" s="4" t="n">
        <x:v>19490000000000</x:v>
      </x:c>
      <x:c r="S98" s="4" t="n">
        <x:v>156000000000000</x:v>
      </x:c>
      <x:c r="T98" s="4" t="n">
        <x:v>77970000000000</x:v>
      </x:c>
      <x:c r="U98" s="4" t="n"/>
      <x:c r="V98" s="4" t="n">
        <x:v>624000000000000</x:v>
      </x:c>
      <x:c r="W98" s="4" t="n"/>
      <x:c r="X98" s="2" t="inlineStr">
        <x:is>
          <x:t xml:space="preserve">TSMC</x:t>
        </x:is>
      </x:c>
      <x:c r="Y98" s="5" t="n">
        <x:v>826</x:v>
      </x:c>
      <x:c r="Z98" s="5" t="n"/>
      <x:c r="AA98" s="5" t="n"/>
      <x:c r="AB98" s="5" t="n"/>
      <x:c r="AC98" s="5" t="n">
        <x:v>5120</x:v>
      </x:c>
      <x:c r="AD98" s="5" t="n">
        <x:v>432</x:v>
      </x:c>
      <x:c r="AE98" s="5" t="n">
        <x:v>7</x:v>
      </x:c>
      <x:c r="AF98" s="5" t="n">
        <x:v>54200</x:v>
      </x:c>
      <x:c r="AG98" s="2" t="inlineStr">
        <x:is>
          <x:t xml:space="preserve">https://www.techpowerup.com/gpu-specs/a100-pcie-80-gb.c3821
https://www.techpowerup.com/gpu-specs/a100-pcie-40-gb.c3623</x:t>
        </x:is>
      </x:c>
      <x:c r="AH98" s="2" t="n"/>
      <x:c r="AI98" s="2" t="inlineStr">
        <x:is>
          <x:t xml:space="preserve">Discriminator Guidance,YuYan 11B,FvFold,Stable Diffusion 1.1,Stable Diffusion 1.4,Stable Diffusion 1.2,Stable Diffusion 1.5</x:t>
        </x:is>
      </x:c>
      <x:c r="AJ98" s="2" t="inlineStr">
        <x:is>
          <x:t xml:space="preserve">2026-03-18 12:56:18+00:00</x:t>
        </x:is>
      </x:c>
      <x:c r="AK98" s="4" t="n">
        <x:v>624000000000000</x:v>
      </x:c>
      <x:c r="AL98" s="4" t="n">
        <x:v>2080000000000</x:v>
      </x:c>
      <x:c r="AM98" s="4" t="n">
        <x:v>4992000000000000</x:v>
      </x:c>
      <x:c r="AN98" s="4" t="n"/>
      <x:c r="AO98" s="4" t="n">
        <x:v>624000000000000</x:v>
      </x:c>
    </x:row>
    <x:row r="99" s="9" customFormat="1" ht="51" customHeight="1">
      <x:c r="A99" s="2" t="inlineStr">
        <x:is>
          <x:t xml:space="preserve">NVIDIA A100 SXM4 80 GB</x:t>
        </x:is>
      </x:c>
      <x:c r="B99" s="2" t="str">
        <x:f>IFERROR(VLOOKUP(TRIM($A99),_classification_map!$A$2:$C$227,2,FALSE),"")</x:f>
        <x:v>Ampere</x:v>
      </x:c>
      <x:c r="C99" s="2" t="str">
        <x:f>IFERROR(VLOOKUP(TRIM($A99),_classification_map!$A$2:$C$227,3,FALSE),"")</x:f>
        <x:v>Datacenter A-series</x:v>
      </x:c>
      <x:c r="D99" s="2" t="inlineStr">
        <x:is>
          <x:t xml:space="preserve">NVIDIA</x:t>
        </x:is>
      </x:c>
      <x:c r="E99" s="2" t="inlineStr">
        <x:is>
          <x:t xml:space="preserve">GPU</x:t>
        </x:is>
      </x:c>
      <x:c r="F99" s="2" t="n"/>
      <x:c r="G99" s="2" t="inlineStr">
        <x:is>
          <x:t xml:space="preserve">2020-11-16</x:t>
        </x:is>
      </x:c>
      <x:c r="H99" s="3" t="n"/>
      <x:c r="I99" s="4" t="n">
        <x:v>312000000000000</x:v>
      </x:c>
      <x:c r="J99" s="4" t="n"/>
      <x:c r="K99" s="4" t="n"/>
      <x:c r="L99" s="4" t="n">
        <x:v>80000000000</x:v>
      </x:c>
      <x:c r="M99" s="4" t="n">
        <x:v>2039000000000</x:v>
      </x:c>
      <x:c r="N99" s="4" t="n">
        <x:v>600000000000</x:v>
      </x:c>
      <x:c r="O99" s="4" t="n">
        <x:v>200000000000</x:v>
      </x:c>
      <x:c r="P99" s="5" t="n">
        <x:v>400</x:v>
      </x:c>
      <x:c r="Q99" s="4" t="n">
        <x:v>9746000000000</x:v>
      </x:c>
      <x:c r="R99" s="4" t="n">
        <x:v>19490000000000</x:v>
      </x:c>
      <x:c r="S99" s="4" t="n">
        <x:v>156000000000000</x:v>
      </x:c>
      <x:c r="T99" s="4" t="n">
        <x:v>77970000000000</x:v>
      </x:c>
      <x:c r="U99" s="4" t="n"/>
      <x:c r="V99" s="4" t="n">
        <x:v>624000000000000</x:v>
      </x:c>
      <x:c r="W99" s="4" t="n"/>
      <x:c r="X99" s="2" t="inlineStr">
        <x:is>
          <x:t xml:space="preserve">TSMC</x:t>
        </x:is>
      </x:c>
      <x:c r="Y99" s="5" t="n">
        <x:v>826</x:v>
      </x:c>
      <x:c r="Z99" s="5" t="n">
        <x:v>1275</x:v>
      </x:c>
      <x:c r="AA99" s="5" t="n">
        <x:v>1410</x:v>
      </x:c>
      <x:c r="AB99" s="5" t="n">
        <x:v>1593</x:v>
      </x:c>
      <x:c r="AC99" s="5" t="n">
        <x:v>5120</x:v>
      </x:c>
      <x:c r="AD99" s="5" t="n">
        <x:v>432</x:v>
      </x:c>
      <x:c r="AE99" s="5" t="n">
        <x:v>7</x:v>
      </x:c>
      <x:c r="AF99" s="5" t="n">
        <x:v>54200</x:v>
      </x:c>
      <x:c r="AG99" s="2" t="inlineStr">
        <x:is>
          <x:t xml:space="preserve">https://www.techpowerup.com/gpu-specs/a100-sxm4-80-gb.c3746</x:t>
        </x:is>
      </x:c>
      <x:c r="AH99" s="2" t="n"/>
      <x:c r="AI99" s="2" t="inlineStr">
        <x:is>
          <x:t xml:space="preserve">InternLM,Llama 2-70B,Galactica,StarCoder,Luminous-supreme,JIANG,Megatron-Turing NLG 530B,RWKV-4 14B,OPT-175B,Code Llama-34B,Llama 2-34B,CodeFuse-13B,XuanYuan 2.0,Llama 2-7B,Llama 2-13B,Fusion in Encoder,GGNN,OmegaPLM,Orca 2-13B,Code Llama-70B,MMS-1B,Llama Guard,Code Llama-7B,VideoMAE V2,Emu1 (BAAI),OpenFlamingo,StarCoder 2 3B,Volcano 13B,BLOOM-176B,NLLB,OPT-66B,A.X (Adot) 18B,Chameleon-34B,FragLlama: Next-fragment prediction for molecular design,YaART,Multi-Token Prediction 7B,Multi-Token Prediction 13B,Pharia-1-LLM-7B,LBSTER,Stable Video 3D (SV3D),Stable Video Diffusion,BELLE-LLaMA-EXT-7B,GRITLM 7B,MindEye2,MobileCLIP-B (LT),TiTok-L,Alpaca,PepPrCLIP,Amber,Code Llama-13B,StableLM - Zephyr 3B,Minitron 8B,Minitron 4B,Llama-3.1-Minitron-4B,F5-TTS, InternVL,SparseOPT-175B,Hybrid H3-2.7B,Phi-4-Multimodal,Phi-4 Mini,Transformer-XL + RMT,LLaVA-NeXT-32B-Qwen,OpenELM-270M,OpenELM-1.1B,OmniNA,Typhoon2-Vision ,HuaTuo,GPT3-2.7B (FlashAttention-2),Hyena 1.3B,Hyena-2 355M,Hyena-2 153M,HAMSTER VLM,VILA-13B,BFS-Prover,CollabLLM,Meditron-70B,Kokoro v1.0,Kokoro v0.19,Me Llama 70B,Me Llama 13B,UniDiffuser (多模态大模型),Baize-v2-13B (白泽),SDXL-Lightning,ChunkLlama2-13B</x:t>
        </x:is>
      </x:c>
      <x:c r="AJ99" s="2" t="inlineStr">
        <x:is>
          <x:t xml:space="preserve">2026-03-18 12:56:18+00:00</x:t>
        </x:is>
      </x:c>
      <x:c r="AK99" s="4" t="n">
        <x:v>624000000000000</x:v>
      </x:c>
      <x:c r="AL99" s="4" t="n">
        <x:v>1560000000000</x:v>
      </x:c>
      <x:c r="AM99" s="4" t="n">
        <x:v>4992000000000000</x:v>
      </x:c>
      <x:c r="AN99" s="4" t="n"/>
      <x:c r="AO99" s="4" t="n">
        <x:v>624000000000000</x:v>
      </x:c>
    </x:row>
    <x:row r="100" s="9" customFormat="1" ht="28.799999237060547" customHeight="1">
      <x:c r="A100" s="2" t="inlineStr">
        <x:is>
          <x:t xml:space="preserve">NVIDIA A800 SXM</x:t>
        </x:is>
      </x:c>
      <x:c r="B100" s="2" t="str">
        <x:f>IFERROR(VLOOKUP(TRIM($A100),_classification_map!$A$2:$C$227,2,FALSE),"")</x:f>
        <x:v>Ampere</x:v>
      </x:c>
      <x:c r="C100" s="2" t="str">
        <x:f>IFERROR(VLOOKUP(TRIM($A100),_classification_map!$A$2:$C$227,3,FALSE),"")</x:f>
        <x:v>Datacenter A-series</x:v>
      </x:c>
      <x:c r="D100" s="2" t="inlineStr">
        <x:is>
          <x:t xml:space="preserve">NVIDIA</x:t>
        </x:is>
      </x:c>
      <x:c r="E100" s="2" t="inlineStr">
        <x:is>
          <x:t xml:space="preserve">GPU</x:t>
        </x:is>
      </x:c>
      <x:c r="F100" s="2" t="inlineStr">
        <x:is>
          <x:t xml:space="preserve">Int8 spec inferred from A800 PCI spec, and A100 spec</x:t>
        </x:is>
      </x:c>
      <x:c r="G100" s="2" t="inlineStr">
        <x:is>
          <x:t xml:space="preserve">2022-08-11</x:t>
        </x:is>
      </x:c>
      <x:c r="H100" s="3" t="n"/>
      <x:c r="I100" s="4" t="n">
        <x:v>311800000000000</x:v>
      </x:c>
      <x:c r="J100" s="4" t="n"/>
      <x:c r="K100" s="4" t="n"/>
      <x:c r="L100" s="4" t="n">
        <x:v>80000000000</x:v>
      </x:c>
      <x:c r="M100" s="4" t="n">
        <x:v>2040000000000</x:v>
      </x:c>
      <x:c r="N100" s="4" t="n"/>
      <x:c r="O100" s="4" t="n"/>
      <x:c r="P100" s="5" t="n">
        <x:v>400</x:v>
      </x:c>
      <x:c r="Q100" s="4" t="n">
        <x:v>9746000000000</x:v>
      </x:c>
      <x:c r="R100" s="4" t="n">
        <x:v>19490000000000</x:v>
      </x:c>
      <x:c r="S100" s="4" t="n">
        <x:v>155900000000000</x:v>
      </x:c>
      <x:c r="T100" s="4" t="n">
        <x:v>77970000000000</x:v>
      </x:c>
      <x:c r="U100" s="4" t="n"/>
      <x:c r="V100" s="4" t="n">
        <x:v>624000000000000</x:v>
      </x:c>
      <x:c r="W100" s="4" t="n"/>
      <x:c r="X100" s="2" t="inlineStr">
        <x:is>
          <x:t xml:space="preserve">TSMC</x:t>
        </x:is>
      </x:c>
      <x:c r="Y100" s="5" t="n">
        <x:v>826</x:v>
      </x:c>
      <x:c r="Z100" s="5" t="n"/>
      <x:c r="AA100" s="5" t="n">
        <x:v>1410</x:v>
      </x:c>
      <x:c r="AB100" s="5" t="n"/>
      <x:c r="AC100" s="5" t="n"/>
      <x:c r="AD100" s="5" t="n">
        <x:v>432</x:v>
      </x:c>
      <x:c r="AE100" s="5" t="n">
        <x:v>7</x:v>
      </x:c>
      <x:c r="AF100" s="5" t="n"/>
      <x:c r="AG100" s="2" t="inlineStr">
        <x:is>
          <x:t xml:space="preserve">https://www.techpowerup.com/gpu-specs/a800-sxm4-80-gb.c3966</x:t>
        </x:is>
      </x:c>
      <x:c r="AH100" s="2" t="n"/>
      <x:c r="AI100" s="2" t="inlineStr">
        <x:is>
          <x:t xml:space="preserve">Uni-Med,Oryx 34B,Xingrui AI (星睿AI),SkyReels-A1,SkyReels-V2,MiniCPM-4-8B</x:t>
        </x:is>
      </x:c>
      <x:c r="AJ100" s="2" t="inlineStr">
        <x:is>
          <x:t xml:space="preserve">2026-03-18 12:56:18+00:00</x:t>
        </x:is>
      </x:c>
      <x:c r="AK100" s="4" t="n">
        <x:v>624000000000000</x:v>
      </x:c>
      <x:c r="AL100" s="4" t="n">
        <x:v>1560000000000</x:v>
      </x:c>
      <x:c r="AM100" s="4" t="n">
        <x:v>4988800000000000</x:v>
      </x:c>
      <x:c r="AN100" s="4" t="n"/>
      <x:c r="AO100" s="4" t="n">
        <x:v>624000000000000</x:v>
      </x:c>
    </x:row>
    <x:row r="101" s="9" customFormat="1" ht="28.799999237060547" customHeight="1">
      <x:c r="A101" s="2" t="inlineStr">
        <x:is>
          <x:t xml:space="preserve">NVIDIA H100 PCIe</x:t>
        </x:is>
      </x:c>
      <x:c r="B101" s="2" t="str">
        <x:f>IFERROR(VLOOKUP(TRIM($A101),_classification_map!$A$2:$C$227,2,FALSE),"")</x:f>
        <x:v>Hopper</x:v>
      </x:c>
      <x:c r="C101" s="2" t="str">
        <x:f>IFERROR(VLOOKUP(TRIM($A101),_classification_map!$A$2:$C$227,3,FALSE),"")</x:f>
        <x:v>Datacenter H-series</x:v>
      </x:c>
      <x:c r="D101" s="2" t="inlineStr">
        <x:is>
          <x:t xml:space="preserve">NVIDIA</x:t>
        </x:is>
      </x:c>
      <x:c r="E101" s="2" t="inlineStr">
        <x:is>
          <x:t xml:space="preserve">GPU</x:t>
        </x:is>
      </x:c>
      <x:c r="F101" s="2" t="inlineStr">
        <x:is>
          <x:t xml:space="preserve">Listed performance figures are without sparsity.</x:t>
        </x:is>
      </x:c>
      <x:c r="G101" s="2" t="inlineStr">
        <x:is>
          <x:t xml:space="preserve">2022-09-20</x:t>
        </x:is>
      </x:c>
      <x:c r="H101" s="3" t="n"/>
      <x:c r="I101" s="4" t="n">
        <x:v>756000000000000</x:v>
      </x:c>
      <x:c r="J101" s="4" t="n"/>
      <x:c r="K101" s="4" t="n"/>
      <x:c r="L101" s="4" t="n">
        <x:v>80000000000</x:v>
      </x:c>
      <x:c r="M101" s="4" t="n">
        <x:v>2040000000000</x:v>
      </x:c>
      <x:c r="N101" s="4" t="n">
        <x:v>600000000000</x:v>
      </x:c>
      <x:c r="O101" s="4" t="n">
        <x:v>400000000000</x:v>
      </x:c>
      <x:c r="P101" s="5" t="n">
        <x:v>350</x:v>
      </x:c>
      <x:c r="Q101" s="4" t="n">
        <x:v>25610000000000</x:v>
      </x:c>
      <x:c r="R101" s="4" t="n">
        <x:v>51220000000000</x:v>
      </x:c>
      <x:c r="S101" s="4" t="n">
        <x:v>378000000000000</x:v>
      </x:c>
      <x:c r="T101" s="4" t="n">
        <x:v>204900000000000</x:v>
      </x:c>
      <x:c r="U101" s="4" t="n"/>
      <x:c r="V101" s="4" t="n"/>
      <x:c r="W101" s="4" t="n"/>
      <x:c r="X101" s="2" t="inlineStr">
        <x:is>
          <x:t xml:space="preserve">TSMC</x:t>
        </x:is>
      </x:c>
      <x:c r="Y101" s="5" t="n">
        <x:v>814</x:v>
      </x:c>
      <x:c r="Z101" s="5" t="n">
        <x:v>1095</x:v>
      </x:c>
      <x:c r="AA101" s="5" t="n">
        <x:v>1755</x:v>
      </x:c>
      <x:c r="AB101" s="5" t="n"/>
      <x:c r="AC101" s="5" t="n"/>
      <x:c r="AD101" s="5" t="n"/>
      <x:c r="AE101" s="5" t="n">
        <x:v>4</x:v>
      </x:c>
      <x:c r="AF101" s="5" t="n">
        <x:v>80000</x:v>
      </x:c>
      <x:c r="AG101" s="2" t="inlineStr">
        <x:is>
          <x:t xml:space="preserve">https://www.techpowerup.com/gpu-specs/h100-pcie.c3899</x:t>
        </x:is>
      </x:c>
      <x:c r="AH101" s="2" t="n"/>
      <x:c r="AI101" s="2" t="inlineStr">
        <x:is>
          <x:t xml:space="preserve">SO3LR,RNAdiffusion,RDT-1B,SmolLM-1.7B,FoxBrain,NatureLM-audio</x:t>
        </x:is>
      </x:c>
      <x:c r="AJ101" s="2" t="inlineStr">
        <x:is>
          <x:t xml:space="preserve">2026-03-18 15:34:46+00:00</x:t>
        </x:is>
      </x:c>
      <x:c r="AK101" s="4" t="n">
        <x:v>756000000000000</x:v>
      </x:c>
      <x:c r="AL101" s="4" t="n">
        <x:v>2160000000000</x:v>
      </x:c>
      <x:c r="AM101" s="4" t="n">
        <x:v>1.2096e+16</x:v>
      </x:c>
      <x:c r="AN101" s="4" t="n"/>
      <x:c r="AO101" s="4" t="n">
        <x:v>756000000000000</x:v>
      </x:c>
    </x:row>
    <x:row r="102">
      <x:c r="A102" s="2" t="inlineStr">
        <x:is>
          <x:t xml:space="preserve">Intel Habana Gaudi2</x:t>
        </x:is>
      </x:c>
      <x:c r="B102" s="2" t="str">
        <x:f>IFERROR(VLOOKUP(TRIM($A102),_classification_map!$A$2:$C$227,2,FALSE),"")</x:f>
        <x:v>Gaudi 2</x:v>
      </x:c>
      <x:c r="C102" s="2" t="str">
        <x:f>IFERROR(VLOOKUP(TRIM($A102),_classification_map!$A$2:$C$227,3,FALSE),"")</x:f>
        <x:v>Habana Gaudi</x:v>
      </x:c>
      <x:c r="D102" s="2" t="inlineStr">
        <x:is>
          <x:t xml:space="preserve">Intel</x:t>
        </x:is>
      </x:c>
      <x:c r="E102" s="2" t="n"/>
      <x:c r="F102" s="2" t="n"/>
      <x:c r="G102" s="2" t="inlineStr">
        <x:is>
          <x:t xml:space="preserve">2022-05-10</x:t>
        </x:is>
      </x:c>
      <x:c r="H102" s="3" t="n"/>
      <x:c r="I102" s="4" t="n">
        <x:v>450000000000000</x:v>
      </x:c>
      <x:c r="J102" s="4" t="n">
        <x:v>865000000000000</x:v>
      </x:c>
      <x:c r="K102" s="4" t="n"/>
      <x:c r="L102" s="4" t="n">
        <x:v>96000000000</x:v>
      </x:c>
      <x:c r="M102" s="4" t="n">
        <x:v>2450000000000</x:v>
      </x:c>
      <x:c r="N102" s="4" t="n"/>
      <x:c r="O102" s="4" t="n"/>
      <x:c r="P102" s="5" t="n">
        <x:v>600</x:v>
      </x:c>
      <x:c r="Q102" s="4" t="n"/>
      <x:c r="R102" s="4" t="n"/>
      <x:c r="S102" s="4" t="n"/>
      <x:c r="T102" s="4" t="n"/>
      <x:c r="U102" s="4" t="n"/>
      <x:c r="V102" s="4" t="n"/>
      <x:c r="W102" s="4" t="n"/>
      <x:c r="X102" s="2" t="inlineStr">
        <x:is>
          <x:t xml:space="preserve">TSMC</x:t>
        </x:is>
      </x:c>
      <x:c r="Y102" s="5" t="n">
        <x:v>826</x:v>
      </x:c>
      <x:c r="Z102" s="5" t="n"/>
      <x:c r="AA102" s="5" t="n"/>
      <x:c r="AB102" s="5" t="n"/>
      <x:c r="AC102" s="5" t="n"/>
      <x:c r="AD102" s="5" t="n">
        <x:v>24</x:v>
      </x:c>
      <x:c r="AE102" s="5" t="n">
        <x:v>7</x:v>
      </x:c>
      <x:c r="AF102" s="5" t="n"/>
      <x:c r="AG102" s="2" t="inlineStr">
        <x:is>
          <x:t xml:space="preserve">https://perma.cc/9SR3-HX6Q</x:t>
        </x:is>
      </x:c>
      <x:c r="AH102" s="2" t="n"/>
      <x:c r="AI102" s="2" t="n"/>
      <x:c r="AJ102" s="2" t="inlineStr">
        <x:is>
          <x:t xml:space="preserve">2025-07-21 09:21:05+00:00</x:t>
        </x:is>
      </x:c>
      <x:c r="AK102" s="4" t="n">
        <x:v>450000000000000</x:v>
      </x:c>
      <x:c r="AL102" s="4" t="n">
        <x:v>750000000000</x:v>
      </x:c>
      <x:c r="AM102" s="4" t="n">
        <x:v>7200000000000000</x:v>
      </x:c>
      <x:c r="AN102" s="4" t="n"/>
      <x:c r="AO102" s="4" t="n">
        <x:v>865000000000000</x:v>
      </x:c>
    </x:row>
    <x:row r="103" s="9" customFormat="1" ht="28.799999237060547" customHeight="1">
      <x:c r="A103" s="2" t="inlineStr">
        <x:is>
          <x:t xml:space="preserve">Intel Data Center GPU Max 1350</x:t>
        </x:is>
      </x:c>
      <x:c r="B103" s="2" t="str">
        <x:f>IFERROR(VLOOKUP(TRIM($A103),_classification_map!$A$2:$C$227,2,FALSE),"")</x:f>
        <x:v>Ponte Vecchio</x:v>
      </x:c>
      <x:c r="C103" s="2" t="str">
        <x:f>IFERROR(VLOOKUP(TRIM($A103),_classification_map!$A$2:$C$227,3,FALSE),"")</x:f>
        <x:v>Data Center GPU Max</x:v>
      </x:c>
      <x:c r="D103" s="2" t="inlineStr">
        <x:is>
          <x:t xml:space="preserve">Intel</x:t>
        </x:is>
      </x:c>
      <x:c r="E103" s="2" t="inlineStr">
        <x:is>
          <x:t xml:space="preserve">GPU</x:t>
        </x:is>
      </x:c>
      <x:c r="F103" s="2" t="n"/>
      <x:c r="G103" s="2" t="inlineStr">
        <x:is>
          <x:t xml:space="preserve">2023-01-10</x:t>
        </x:is>
      </x:c>
      <x:c r="H103" s="3" t="n"/>
      <x:c r="I103" s="4" t="n">
        <x:v>711000000000000</x:v>
      </x:c>
      <x:c r="J103" s="4" t="n"/>
      <x:c r="K103" s="4" t="n"/>
      <x:c r="L103" s="4" t="n">
        <x:v>96000000000</x:v>
      </x:c>
      <x:c r="M103" s="4" t="n">
        <x:v>2460000000000</x:v>
      </x:c>
      <x:c r="N103" s="4" t="n"/>
      <x:c r="O103" s="4" t="n"/>
      <x:c r="P103" s="5" t="n">
        <x:v>450</x:v>
      </x:c>
      <x:c r="Q103" s="4" t="n"/>
      <x:c r="R103" s="4" t="n">
        <x:v>44440000000000</x:v>
      </x:c>
      <x:c r="S103" s="4" t="n"/>
      <x:c r="T103" s="4" t="n">
        <x:v>44440000000000</x:v>
      </x:c>
      <x:c r="U103" s="4" t="n"/>
      <x:c r="V103" s="4" t="n"/>
      <x:c r="W103" s="4" t="n"/>
      <x:c r="X103" s="2" t="inlineStr">
        <x:is>
          <x:t xml:space="preserve">Intel</x:t>
        </x:is>
      </x:c>
      <x:c r="Y103" s="5" t="n">
        <x:v>1280</x:v>
      </x:c>
      <x:c r="Z103" s="5" t="n">
        <x:v>750</x:v>
      </x:c>
      <x:c r="AA103" s="5" t="n">
        <x:v>1550</x:v>
      </x:c>
      <x:c r="AB103" s="5" t="n">
        <x:v>1200</x:v>
      </x:c>
      <x:c r="AC103" s="5" t="n">
        <x:v>8192</x:v>
      </x:c>
      <x:c r="AD103" s="5" t="n">
        <x:v>896</x:v>
      </x:c>
      <x:c r="AE103" s="5" t="n">
        <x:v>10</x:v>
      </x:c>
      <x:c r="AF103" s="5" t="n">
        <x:v>100000</x:v>
      </x:c>
      <x:c r="AG103" s="2" t="inlineStr">
        <x:is>
          <x:t xml:space="preserve">https://www.techpowerup.com/gpu-specs/data-center-gpu-max-1350.c4067</x:t>
        </x:is>
      </x:c>
      <x:c r="AH103" s="2" t="n"/>
      <x:c r="AI103" s="2" t="n"/>
      <x:c r="AJ103" s="2" t="inlineStr">
        <x:is>
          <x:t xml:space="preserve">2025-07-21 09:20:36+00:00</x:t>
        </x:is>
      </x:c>
      <x:c r="AK103" s="4" t="n">
        <x:v>44440000000000</x:v>
      </x:c>
      <x:c r="AL103" s="4" t="n">
        <x:v>98755555555.5556</x:v>
      </x:c>
      <x:c r="AM103" s="4" t="n">
        <x:v>1422080000000000</x:v>
      </x:c>
      <x:c r="AN103" s="4" t="n"/>
      <x:c r="AO103" s="4" t="n">
        <x:v>44440000000000</x:v>
      </x:c>
    </x:row>
    <x:row r="104" s="9" customFormat="1" ht="216" customHeight="1">
      <x:c r="A104" s="2" t="inlineStr">
        <x:is>
          <x:t xml:space="preserve">Google TPU v5p</x:t>
        </x:is>
      </x:c>
      <x:c r="B104" s="2" t="str">
        <x:f>IFERROR(VLOOKUP(TRIM($A104),_classification_map!$A$2:$C$227,2,FALSE),"")</x:f>
        <x:v>TPU v5p</x:v>
      </x:c>
      <x:c r="C104" s="2" t="str">
        <x:f>IFERROR(VLOOKUP(TRIM($A104),_classification_map!$A$2:$C$227,3,FALSE),"")</x:f>
        <x:v>TPU</x:v>
      </x:c>
      <x:c r="D104" s="2" t="inlineStr">
        <x:is>
          <x:t xml:space="preserve">Google</x:t>
        </x:is>
      </x:c>
      <x:c r="E104" s="2" t="inlineStr">
        <x:is>
          <x:t xml:space="preserve">TPU</x:t>
        </x:is>
      </x:c>
      <x:c r="F104" s="2" t="inlineStr">
        <x:is>
          <x:t xml:space="preserve">Google does not officially state TPUv5p's TDP. 
In the blog post announcing TPUv7 (https://blog.google/products/google-cloud/ironwood-tpu-age-of-inference/), Google disclosed that TPUv5p is 5.2x more efficient than the TPUv2 in peak FLOP/s per TDP (measuring peak FLOP/s as either FP8 or bf16 FLOP/s when FP8 is not supported). 
TPUv2 does 46 TFLOP/s peak and has a TDP of 280 W. TPUv5p does 459 TFLOP/s peak. So the TPUv5p's TDP is (459 TFLOP/s / 46 TFLOP/s) * 280 W / 5.2x efficiency = ~537 W. Note that this may be a slightly approximate figure due to rounding on Google's part. We round to 540 W.</x:t>
        </x:is>
      </x:c>
      <x:c r="G104" s="2" t="inlineStr">
        <x:is>
          <x:t xml:space="preserve">2023-12-06</x:t>
        </x:is>
      </x:c>
      <x:c r="H104" s="3" t="n"/>
      <x:c r="I104" s="4" t="n">
        <x:v>459000000000000</x:v>
      </x:c>
      <x:c r="J104" s="4" t="n"/>
      <x:c r="K104" s="4" t="n"/>
      <x:c r="L104" s="4" t="n">
        <x:v>95000000000</x:v>
      </x:c>
      <x:c r="M104" s="4" t="n">
        <x:v>2765000000000</x:v>
      </x:c>
      <x:c r="N104" s="4" t="n"/>
      <x:c r="O104" s="4" t="n"/>
      <x:c r="P104" s="5" t="n">
        <x:v>540</x:v>
      </x:c>
      <x:c r="Q104" s="4" t="n"/>
      <x:c r="R104" s="4" t="n"/>
      <x:c r="S104" s="4" t="n"/>
      <x:c r="T104" s="4" t="n"/>
      <x:c r="U104" s="4" t="n"/>
      <x:c r="V104" s="4" t="n">
        <x:v>918000000000000</x:v>
      </x:c>
      <x:c r="W104" s="4" t="n"/>
      <x:c r="X104" s="2" t="n"/>
      <x:c r="Y104" s="5" t="n"/>
      <x:c r="Z104" s="5" t="n"/>
      <x:c r="AA104" s="5" t="n"/>
      <x:c r="AB104" s="5" t="n"/>
      <x:c r="AC104" s="5" t="n"/>
      <x:c r="AD104" s="5" t="n">
        <x:v>2</x:v>
      </x:c>
      <x:c r="AE104" s="5" t="n"/>
      <x:c r="AF104" s="5" t="n"/>
      <x:c r="AG104" s="2" t="inlineStr">
        <x:is>
          <x:t xml:space="preserve">https://cloud.google.com/tpu/docs/v5p</x:t>
        </x:is>
      </x:c>
      <x:c r="AH104" s="2" t="n"/>
      <x:c r="AI104" s="2" t="inlineStr">
        <x:is>
          <x:t xml:space="preserve">Genie,Gemma 2 27B,AFM-on-device,Gemma 3 27B,FGN</x:t>
        </x:is>
      </x:c>
      <x:c r="AJ104" s="2" t="inlineStr">
        <x:is>
          <x:t xml:space="preserve">2026-03-18 12:56:18+00:00</x:t>
        </x:is>
      </x:c>
      <x:c r="AK104" s="4" t="n">
        <x:v>918000000000000</x:v>
      </x:c>
      <x:c r="AL104" s="4" t="n">
        <x:v>1700000000000</x:v>
      </x:c>
      <x:c r="AM104" s="4" t="n">
        <x:v>7344000000000000</x:v>
      </x:c>
      <x:c r="AN104" s="4" t="n"/>
      <x:c r="AO104" s="4" t="n">
        <x:v>918000000000000</x:v>
      </x:c>
    </x:row>
    <x:row r="105" s="9" customFormat="1" ht="72" customHeight="1">
      <x:c r="A105" s="2" t="inlineStr">
        <x:is>
          <x:t xml:space="preserve">Amazon Trainium2</x:t>
        </x:is>
      </x:c>
      <x:c r="B105" s="2" t="str">
        <x:f>IFERROR(VLOOKUP(TRIM($A105),_classification_map!$A$2:$C$227,2,FALSE),"")</x:f>
        <x:v>Trainium2</x:v>
      </x:c>
      <x:c r="C105" s="2" t="str">
        <x:f>IFERROR(VLOOKUP(TRIM($A105),_classification_map!$A$2:$C$227,3,FALSE),"")</x:f>
        <x:v>Trainium</x:v>
      </x:c>
      <x:c r="D105" s="2" t="inlineStr">
        <x:is>
          <x:t xml:space="preserve">Amazon AWS</x:t>
        </x:is>
      </x:c>
      <x:c r="E105" s="2" t="inlineStr">
        <x:is>
          <x:t xml:space="preserve">GPU</x:t>
        </x:is>
      </x:c>
      <x:c r="F105" s="2" t="n"/>
      <x:c r="G105" s="2" t="inlineStr">
        <x:is>
          <x:t xml:space="preserve">2024-12-03</x:t>
        </x:is>
      </x:c>
      <x:c r="H105" s="3" t="n"/>
      <x:c r="I105" s="4" t="n">
        <x:v>667000000000000</x:v>
      </x:c>
      <x:c r="J105" s="4" t="n">
        <x:v>1299000000000000</x:v>
      </x:c>
      <x:c r="K105" s="4" t="n"/>
      <x:c r="L105" s="4" t="n">
        <x:v>96000000000</x:v>
      </x:c>
      <x:c r="M105" s="4" t="n">
        <x:v>2900000000000</x:v>
      </x:c>
      <x:c r="N105" s="4" t="n"/>
      <x:c r="O105" s="4" t="n"/>
      <x:c r="P105" s="5" t="n">
        <x:v>500</x:v>
      </x:c>
      <x:c r="Q105" s="4" t="n"/>
      <x:c r="R105" s="4" t="n"/>
      <x:c r="S105" s="4" t="n"/>
      <x:c r="T105" s="4" t="n"/>
      <x:c r="U105" s="4" t="n"/>
      <x:c r="V105" s="4" t="n"/>
      <x:c r="W105" s="4" t="n"/>
      <x:c r="X105" s="2" t="n"/>
      <x:c r="Y105" s="5" t="n"/>
      <x:c r="Z105" s="5" t="n"/>
      <x:c r="AA105" s="5" t="n"/>
      <x:c r="AB105" s="5" t="n"/>
      <x:c r="AC105" s="5" t="n"/>
      <x:c r="AD105" s="5" t="n"/>
      <x:c r="AE105" s="5" t="n"/>
      <x:c r="AF105" s="5" t="n"/>
      <x:c r="AG105" s="2" t="inlineStr">
        <x:is>
          <x:t xml:space="preserve">https://semianalysis.com/2024/12/03/amazons-ai-self-sufficiency-trainium2-architecture-networking/
https://awsdocs-neuron.readthedocs-hosted.com/en/latest/about-neuron/arch/neuron-hardware/trainium2.html</x:t>
        </x:is>
      </x:c>
      <x:c r="AH105" s="2" t="n"/>
      <x:c r="AI105" s="2" t="n"/>
      <x:c r="AJ105" s="2" t="inlineStr">
        <x:is>
          <x:t xml:space="preserve">2025-10-29 15:08:53+00:00</x:t>
        </x:is>
      </x:c>
      <x:c r="AK105" s="4" t="n">
        <x:v>667000000000000</x:v>
      </x:c>
      <x:c r="AL105" s="4" t="n">
        <x:v>1334000000000</x:v>
      </x:c>
      <x:c r="AM105" s="4" t="n">
        <x:v>1.0672e+16</x:v>
      </x:c>
      <x:c r="AN105" s="4" t="n"/>
      <x:c r="AO105" s="4" t="n">
        <x:v>1299000000000000</x:v>
      </x:c>
    </x:row>
    <x:row r="106" s="9" customFormat="1" ht="57.599998474121094" customHeight="1">
      <x:c r="A106" s="2" t="inlineStr">
        <x:is>
          <x:t xml:space="preserve">NVIDIA GH100</x:t>
        </x:is>
      </x:c>
      <x:c r="B106" s="2" t="str">
        <x:f>IFERROR(VLOOKUP(TRIM($A106),_classification_map!$A$2:$C$227,2,FALSE),"")</x:f>
        <x:v>Hopper</x:v>
      </x:c>
      <x:c r="C106" s="2" t="str">
        <x:f>IFERROR(VLOOKUP(TRIM($A106),_classification_map!$A$2:$C$227,3,FALSE),"")</x:f>
        <x:v>Datacenter H-series</x:v>
      </x:c>
      <x:c r="D106" s="2" t="inlineStr">
        <x:is>
          <x:t xml:space="preserve">NVIDIA</x:t>
        </x:is>
      </x:c>
      <x:c r="E106" s="2" t="inlineStr">
        <x:is>
          <x:t xml:space="preserve">GPU</x:t>
        </x:is>
      </x:c>
      <x:c r="F106" s="2" t="n"/>
      <x:c r="G106" s="2" t="inlineStr">
        <x:is>
          <x:t xml:space="preserve">2023-03-21</x:t>
        </x:is>
      </x:c>
      <x:c r="H106" s="3" t="n"/>
      <x:c r="I106" s="4" t="n">
        <x:v>989500000000000</x:v>
      </x:c>
      <x:c r="J106" s="4" t="n"/>
      <x:c r="K106" s="4" t="n"/>
      <x:c r="L106" s="4" t="n"/>
      <x:c r="M106" s="4" t="n">
        <x:v>3072000000000</x:v>
      </x:c>
      <x:c r="N106" s="4" t="n"/>
      <x:c r="O106" s="4" t="n"/>
      <x:c r="P106" s="5" t="n">
        <x:v>700</x:v>
      </x:c>
      <x:c r="Q106" s="4" t="n">
        <x:v>33450000000000</x:v>
      </x:c>
      <x:c r="R106" s="4" t="n">
        <x:v>66910000000000</x:v>
      </x:c>
      <x:c r="S106" s="4" t="n">
        <x:v>494500000000000</x:v>
      </x:c>
      <x:c r="T106" s="4" t="n"/>
      <x:c r="U106" s="4" t="n"/>
      <x:c r="V106" s="4" t="n">
        <x:v>1979000000000000</x:v>
      </x:c>
      <x:c r="W106" s="4" t="n"/>
      <x:c r="X106" s="2" t="inlineStr">
        <x:is>
          <x:t xml:space="preserve">TSMC</x:t>
        </x:is>
      </x:c>
      <x:c r="Y106" s="5" t="n"/>
      <x:c r="Z106" s="5" t="n"/>
      <x:c r="AA106" s="5" t="n"/>
      <x:c r="AB106" s="5" t="n"/>
      <x:c r="AC106" s="5" t="n"/>
      <x:c r="AD106" s="5" t="n"/>
      <x:c r="AE106" s="5" t="n"/>
      <x:c r="AF106" s="5" t="n"/>
      <x:c r="AG106" s="2" t="inlineStr">
        <x:is>
          <x:t xml:space="preserve">https://www.techpowerup.com/gpu-specs/nvidia-gh100.g1011
https://videocardz.net/gpu/nvidia-gh100</x:t>
        </x:is>
      </x:c>
      <x:c r="AH106" s="2" t="n"/>
      <x:c r="AI106" s="2" t="n"/>
      <x:c r="AJ106" s="2" t="inlineStr">
        <x:is>
          <x:t xml:space="preserve">2026-03-18 19:00:08+00:00</x:t>
        </x:is>
      </x:c>
      <x:c r="AK106" s="4" t="n">
        <x:v>1979000000000000</x:v>
      </x:c>
      <x:c r="AL106" s="4" t="n">
        <x:v>2827142857142.86</x:v>
      </x:c>
      <x:c r="AM106" s="4" t="n">
        <x:v>1.5832e+16</x:v>
      </x:c>
      <x:c r="AN106" s="4" t="n"/>
      <x:c r="AO106" s="4" t="n">
        <x:v>1979000000000000</x:v>
      </x:c>
    </x:row>
    <x:row r="107" s="9" customFormat="1" ht="100.80000305175781" customHeight="1">
      <x:c r="A107" s="2" t="inlineStr">
        <x:is>
          <x:t xml:space="preserve">Huawei Ascend 910C</x:t>
        </x:is>
      </x:c>
      <x:c r="B107" s="2" t="str">
        <x:f>IFERROR(VLOOKUP(TRIM($A107),_classification_map!$A$2:$C$227,2,FALSE),"")</x:f>
        <x:v>Ascend 910C</x:v>
      </x:c>
      <x:c r="C107" s="2" t="str">
        <x:f>IFERROR(VLOOKUP(TRIM($A107),_classification_map!$A$2:$C$227,3,FALSE),"")</x:f>
        <x:v>Ascend</x:v>
      </x:c>
      <x:c r="D107" s="2" t="inlineStr">
        <x:is>
          <x:t xml:space="preserve">Huawei</x:t>
        </x:is>
      </x:c>
      <x:c r="E107" s="2" t="inlineStr">
        <x:is>
          <x:t xml:space="preserve">GPU</x:t>
        </x:is>
      </x:c>
      <x:c r="F107" s="2" t="inlineStr">
        <x:is>
          <x:t xml:space="preserve">Most reports, e.g. Trendforce indicate 800 TFLOP/s in FP16. SemiAnalysis claims 780 TFLOP/s.</x:t>
        </x:is>
      </x:c>
      <x:c r="G107" s="2" t="inlineStr">
        <x:is>
          <x:t xml:space="preserve">2024-10-15</x:t>
        </x:is>
      </x:c>
      <x:c r="H107" s="3" t="n"/>
      <x:c r="I107" s="4" t="n">
        <x:v>800000000000000</x:v>
      </x:c>
      <x:c r="J107" s="4" t="n"/>
      <x:c r="K107" s="4" t="n"/>
      <x:c r="L107" s="4" t="n">
        <x:v>128000000000</x:v>
      </x:c>
      <x:c r="M107" s="4" t="n">
        <x:v>3200000000000</x:v>
      </x:c>
      <x:c r="N107" s="4" t="n"/>
      <x:c r="O107" s="4" t="n">
        <x:v>784000000000</x:v>
      </x:c>
      <x:c r="P107" s="5" t="n">
        <x:v>700</x:v>
      </x:c>
      <x:c r="Q107" s="4" t="n"/>
      <x:c r="R107" s="4" t="n"/>
      <x:c r="S107" s="4" t="n"/>
      <x:c r="T107" s="4" t="n">
        <x:v>800000000000000</x:v>
      </x:c>
      <x:c r="U107" s="4" t="n"/>
      <x:c r="V107" s="4" t="n"/>
      <x:c r="W107" s="4" t="n"/>
      <x:c r="X107" s="2" t="inlineStr">
        <x:is>
          <x:t xml:space="preserve">SMIC,TSMC</x:t>
        </x:is>
      </x:c>
      <x:c r="Y107" s="5" t="n"/>
      <x:c r="Z107" s="5" t="n"/>
      <x:c r="AA107" s="5" t="n"/>
      <x:c r="AB107" s="5" t="n"/>
      <x:c r="AC107" s="5" t="n"/>
      <x:c r="AD107" s="5" t="n"/>
      <x:c r="AE107" s="5" t="n">
        <x:v>7</x:v>
      </x:c>
      <x:c r="AF107" s="5" t="n"/>
      <x:c r="AG107" s="2" t="inlineStr">
        <x:is>
          <x:t xml:space="preserve">https://www.trendforce.com/news/2025/03/13/news-huaweis-ascend-910c-takes-on-nvidia-as-chinas-ai-race-heats-up-more-alleged-details/
https://www.huawei.com/en/news/2025/9/hc-xu-keynote-speech?
https://newsletter.semianalysis.com/p/huawei-ai-cloudmatrix-384-chinas-answer-to-nvidia-gb200-nvl72</x:t>
        </x:is>
      </x:c>
      <x:c r="AH107" s="2" t="n"/>
      <x:c r="AI107" s="2" t="inlineStr">
        <x:is>
          <x:t xml:space="preserve">GLM-5</x:t>
        </x:is>
      </x:c>
      <x:c r="AJ107" s="2" t="inlineStr">
        <x:is>
          <x:t xml:space="preserve">2026-03-18 12:56:18+00:00</x:t>
        </x:is>
      </x:c>
      <x:c r="AK107" s="4" t="n">
        <x:v>800000000000000</x:v>
      </x:c>
      <x:c r="AL107" s="4" t="n">
        <x:v>1142857142857.14</x:v>
      </x:c>
      <x:c r="AM107" s="4" t="n">
        <x:v>1.28e+16</x:v>
      </x:c>
      <x:c r="AN107" s="4" t="n"/>
      <x:c r="AO107" s="4" t="n">
        <x:v>800000000000000</x:v>
      </x:c>
    </x:row>
    <x:row r="108" s="9" customFormat="1" ht="57.599998474121094" customHeight="1">
      <x:c r="A108" s="2" t="inlineStr">
        <x:is>
          <x:t xml:space="preserve">AMD Radeon Instinct MI250X</x:t>
        </x:is>
      </x:c>
      <x:c r="B108" s="2" t="str">
        <x:f>IFERROR(VLOOKUP(TRIM($A108),_classification_map!$A$2:$C$227,2,FALSE),"")</x:f>
        <x:v>CDNA 2</x:v>
      </x:c>
      <x:c r="C108" s="2" t="str">
        <x:f>IFERROR(VLOOKUP(TRIM($A108),_classification_map!$A$2:$C$227,3,FALSE),"")</x:f>
        <x:v>Instinct MI200</x:v>
      </x:c>
      <x:c r="D108" s="2" t="inlineStr">
        <x:is>
          <x:t xml:space="preserve">AMD</x:t>
        </x:is>
      </x:c>
      <x:c r="E108" s="2" t="inlineStr">
        <x:is>
          <x:t xml:space="preserve">GPU</x:t>
        </x:is>
      </x:c>
      <x:c r="F108" s="2" t="n"/>
      <x:c r="G108" s="2" t="inlineStr">
        <x:is>
          <x:t xml:space="preserve">2021-11-08</x:t>
        </x:is>
      </x:c>
      <x:c r="H108" s="3" t="n">
        <x:v>14500</x:v>
      </x:c>
      <x:c r="I108" s="4" t="n">
        <x:v>383000000000000</x:v>
      </x:c>
      <x:c r="J108" s="4" t="n"/>
      <x:c r="K108" s="4" t="n"/>
      <x:c r="L108" s="4" t="n">
        <x:v>128000000000</x:v>
      </x:c>
      <x:c r="M108" s="4" t="n">
        <x:v>3280000000000</x:v>
      </x:c>
      <x:c r="N108" s="4" t="n">
        <x:v>800000000000</x:v>
      </x:c>
      <x:c r="O108" s="4" t="n"/>
      <x:c r="P108" s="5" t="n">
        <x:v>500</x:v>
      </x:c>
      <x:c r="Q108" s="4" t="n">
        <x:v>47870000000000</x:v>
      </x:c>
      <x:c r="R108" s="4" t="n">
        <x:v>47870000000000</x:v>
      </x:c>
      <x:c r="S108" s="4" t="n">
        <x:v>95700000000000</x:v>
      </x:c>
      <x:c r="T108" s="4" t="n">
        <x:v>383000000000000</x:v>
      </x:c>
      <x:c r="U108" s="4" t="n"/>
      <x:c r="V108" s="4" t="n">
        <x:v>383000000000000</x:v>
      </x:c>
      <x:c r="W108" s="4" t="n"/>
      <x:c r="X108" s="2" t="inlineStr">
        <x:is>
          <x:t xml:space="preserve">TSMC</x:t>
        </x:is>
      </x:c>
      <x:c r="Y108" s="5" t="n">
        <x:v>724</x:v>
      </x:c>
      <x:c r="Z108" s="5" t="n">
        <x:v>1000</x:v>
      </x:c>
      <x:c r="AA108" s="5" t="n">
        <x:v>1700</x:v>
      </x:c>
      <x:c r="AB108" s="5" t="n">
        <x:v>1600</x:v>
      </x:c>
      <x:c r="AC108" s="5" t="n">
        <x:v>8192</x:v>
      </x:c>
      <x:c r="AD108" s="5" t="n"/>
      <x:c r="AE108" s="5" t="n">
        <x:v>6</x:v>
      </x:c>
      <x:c r="AF108" s="5" t="n">
        <x:v>58200</x:v>
      </x:c>
      <x:c r="AG108" s="2" t="inlineStr">
        <x:is>
          <x:t xml:space="preserve">https://www.amd.com/en/products/accelerators/instinct/mi200/mi250x.html
https://www.techpowerup.com/gpu-specs/radeon-instinct-mi250x.c3837</x:t>
        </x:is>
      </x:c>
      <x:c r="AH108" s="2" t="inlineStr">
        <x:is>
          <x:t xml:space="preserve">https://www.nextplatform.com/2021/12/06/stacking-up-amd-mi200-versus-nvidia-a100-compute-engines/</x:t>
        </x:is>
      </x:c>
      <x:c r="AI108" s="2" t="inlineStr">
        <x:is>
          <x:t xml:space="preserve">BLUUMI,Poro 34B,Viking,OLMo-7B,ColPali,OLMo-1B</x:t>
        </x:is>
      </x:c>
      <x:c r="AJ108" s="2" t="inlineStr">
        <x:is>
          <x:t xml:space="preserve">2026-03-18 12:56:18+00:00</x:t>
        </x:is>
      </x:c>
      <x:c r="AK108" s="4" t="n">
        <x:v>383000000000000</x:v>
      </x:c>
      <x:c r="AL108" s="4" t="n">
        <x:v>766000000000</x:v>
      </x:c>
      <x:c r="AM108" s="4" t="n">
        <x:v>6128000000000000</x:v>
      </x:c>
      <x:c r="AN108" s="4" t="n">
        <x:v>26413793103.4483</x:v>
      </x:c>
      <x:c r="AO108" s="4" t="n">
        <x:v>383000000000000</x:v>
      </x:c>
    </x:row>
    <x:row r="109" s="9" customFormat="1" ht="28.799999237060547" customHeight="1">
      <x:c r="A109" s="2" t="inlineStr">
        <x:is>
          <x:t xml:space="preserve">Intel Data Center GPU Max 1550</x:t>
        </x:is>
      </x:c>
      <x:c r="B109" s="2" t="str">
        <x:f>IFERROR(VLOOKUP(TRIM($A109),_classification_map!$A$2:$C$227,2,FALSE),"")</x:f>
        <x:v>Ponte Vecchio</x:v>
      </x:c>
      <x:c r="C109" s="2" t="str">
        <x:f>IFERROR(VLOOKUP(TRIM($A109),_classification_map!$A$2:$C$227,3,FALSE),"")</x:f>
        <x:v>Data Center GPU Max</x:v>
      </x:c>
      <x:c r="D109" s="2" t="inlineStr">
        <x:is>
          <x:t xml:space="preserve">Intel</x:t>
        </x:is>
      </x:c>
      <x:c r="E109" s="2" t="inlineStr">
        <x:is>
          <x:t xml:space="preserve">GPU</x:t>
        </x:is>
      </x:c>
      <x:c r="F109" s="2" t="n"/>
      <x:c r="G109" s="2" t="inlineStr">
        <x:is>
          <x:t xml:space="preserve">2023-01-10</x:t>
        </x:is>
      </x:c>
      <x:c r="H109" s="3" t="n"/>
      <x:c r="I109" s="4" t="n">
        <x:v>839000000000000</x:v>
      </x:c>
      <x:c r="J109" s="4" t="n"/>
      <x:c r="K109" s="4" t="n"/>
      <x:c r="L109" s="4" t="n">
        <x:v>128000000000</x:v>
      </x:c>
      <x:c r="M109" s="4" t="n">
        <x:v>3280000000000</x:v>
      </x:c>
      <x:c r="N109" s="4" t="n"/>
      <x:c r="O109" s="4" t="n"/>
      <x:c r="P109" s="5" t="n">
        <x:v>600</x:v>
      </x:c>
      <x:c r="Q109" s="4" t="n"/>
      <x:c r="R109" s="4" t="n">
        <x:v>52430000000000</x:v>
      </x:c>
      <x:c r="S109" s="4" t="n"/>
      <x:c r="T109" s="4" t="n">
        <x:v>52430000000000</x:v>
      </x:c>
      <x:c r="U109" s="4" t="n"/>
      <x:c r="V109" s="4" t="n"/>
      <x:c r="W109" s="4" t="n"/>
      <x:c r="X109" s="2" t="inlineStr">
        <x:is>
          <x:t xml:space="preserve">Intel</x:t>
        </x:is>
      </x:c>
      <x:c r="Y109" s="5" t="n">
        <x:v>1280</x:v>
      </x:c>
      <x:c r="Z109" s="5" t="n">
        <x:v>900</x:v>
      </x:c>
      <x:c r="AA109" s="5" t="n">
        <x:v>1600</x:v>
      </x:c>
      <x:c r="AB109" s="5" t="n">
        <x:v>1600</x:v>
      </x:c>
      <x:c r="AC109" s="5" t="n">
        <x:v>8192</x:v>
      </x:c>
      <x:c r="AD109" s="5" t="n">
        <x:v>1024</x:v>
      </x:c>
      <x:c r="AE109" s="5" t="n">
        <x:v>10</x:v>
      </x:c>
      <x:c r="AF109" s="5" t="n">
        <x:v>100000</x:v>
      </x:c>
      <x:c r="AG109" s="2" t="inlineStr">
        <x:is>
          <x:t xml:space="preserve">https://www.techpowerup.com/gpu-specs/data-center-gpu-max-1350.c4067</x:t>
        </x:is>
      </x:c>
      <x:c r="AH109" s="2" t="n"/>
      <x:c r="AI109" s="2" t="n"/>
      <x:c r="AJ109" s="2" t="inlineStr">
        <x:is>
          <x:t xml:space="preserve">2025-07-21 09:20:36+00:00</x:t>
        </x:is>
      </x:c>
      <x:c r="AK109" s="4" t="n">
        <x:v>52430000000000</x:v>
      </x:c>
      <x:c r="AL109" s="4" t="n">
        <x:v>87383333333.3333</x:v>
      </x:c>
      <x:c r="AM109" s="4" t="n">
        <x:v>1677760000000000</x:v>
      </x:c>
      <x:c r="AN109" s="4" t="n"/>
      <x:c r="AO109" s="4" t="n">
        <x:v>52430000000000</x:v>
      </x:c>
    </x:row>
    <x:row r="110" s="9" customFormat="1" ht="184" customHeight="1">
      <x:c r="A110" s="2" t="inlineStr">
        <x:is>
          <x:t xml:space="preserve">NVIDIA H100 SXM5 80GB</x:t>
        </x:is>
      </x:c>
      <x:c r="B110" s="2" t="str">
        <x:f>IFERROR(VLOOKUP(TRIM($A110),_classification_map!$A$2:$C$227,2,FALSE),"")</x:f>
        <x:v>Hopper</x:v>
      </x:c>
      <x:c r="C110" s="2" t="str">
        <x:f>IFERROR(VLOOKUP(TRIM($A110),_classification_map!$A$2:$C$227,3,FALSE),"")</x:f>
        <x:v>Datacenter H-series</x:v>
      </x:c>
      <x:c r="D110" s="2" t="inlineStr">
        <x:is>
          <x:t xml:space="preserve">NVIDIA</x:t>
        </x:is>
      </x:c>
      <x:c r="E110" s="2" t="inlineStr">
        <x:is>
          <x:t xml:space="preserve">GPU</x:t>
        </x:is>
      </x:c>
      <x:c r="F110" s="2" t="inlineStr">
        <x:is>
          <x:t xml:space="preserve">Listed performance figures are without sparsity.</x:t>
        </x:is>
      </x:c>
      <x:c r="G110" s="2" t="inlineStr">
        <x:is>
          <x:t xml:space="preserve">2022-09-20</x:t>
        </x:is>
      </x:c>
      <x:c r="H110" s="3" t="n">
        <x:v>33600</x:v>
      </x:c>
      <x:c r="I110" s="4" t="n">
        <x:v>989400000000000</x:v>
      </x:c>
      <x:c r="J110" s="4" t="n"/>
      <x:c r="K110" s="4" t="n"/>
      <x:c r="L110" s="4" t="n">
        <x:v>80000000000</x:v>
      </x:c>
      <x:c r="M110" s="4" t="n">
        <x:v>3350000000000</x:v>
      </x:c>
      <x:c r="N110" s="4" t="n">
        <x:v>900000000000</x:v>
      </x:c>
      <x:c r="O110" s="4" t="n">
        <x:v>400000000000</x:v>
      </x:c>
      <x:c r="P110" s="5" t="n">
        <x:v>700</x:v>
      </x:c>
      <x:c r="Q110" s="4" t="n">
        <x:v>33450000000000</x:v>
      </x:c>
      <x:c r="R110" s="4" t="n">
        <x:v>66910000000000</x:v>
      </x:c>
      <x:c r="S110" s="4" t="n">
        <x:v>494700000000000</x:v>
      </x:c>
      <x:c r="T110" s="4" t="n">
        <x:v>133800000000000</x:v>
      </x:c>
      <x:c r="U110" s="4" t="n"/>
      <x:c r="V110" s="4" t="n">
        <x:v>1979000000000000</x:v>
      </x:c>
      <x:c r="W110" s="4" t="n"/>
      <x:c r="X110" s="2" t="inlineStr">
        <x:is>
          <x:t xml:space="preserve">TSMC</x:t>
        </x:is>
      </x:c>
      <x:c r="Y110" s="5" t="n">
        <x:v>814</x:v>
      </x:c>
      <x:c r="Z110" s="5" t="n">
        <x:v>1665</x:v>
      </x:c>
      <x:c r="AA110" s="5" t="n">
        <x:v>1980</x:v>
      </x:c>
      <x:c r="AB110" s="5" t="n">
        <x:v>1313</x:v>
      </x:c>
      <x:c r="AC110" s="5" t="n">
        <x:v>5120</x:v>
      </x:c>
      <x:c r="AD110" s="5" t="n">
        <x:v>528</x:v>
      </x:c>
      <x:c r="AE110" s="5" t="n">
        <x:v>5</x:v>
      </x:c>
      <x:c r="AF110" s="5" t="n">
        <x:v>80000</x:v>
      </x:c>
      <x:c r="AG110" s="2" t="inlineStr">
        <x:is>
          <x:t xml:space="preserve">https://resources.nvidia.com/en-us-tensor-core/nvidia-tensor-core-gpu-datasheet; https://www.techpowerup.com/gpu-specs/h100-sxm5.c3900</x:t>
        </x:is>
      </x:c>
      <x:c r="AH110" s="2" t="inlineStr">
        <x:is>
          <x:t xml:space="preserve">No official MSRP. 
Industry analyst in May 2023 reports DGX servers with 8xH100 were sold for $269k, or $33,600 per GPU. In bill of materials, 8 GPUs + baseboard are $195k, or $24.4k per GPU. It is possible that this reflects bulk/hyperscaler pricing
https://web.archive.org/web/20230529125834/https://www.semianalysis.com/p/ai-server-cost-analysis-memory-is 
One early listing had DGX at 370k EUR, or ~44.5k USD per card.
https://web.archive.org/web/20220929115124/https://www.deltacomputer.com/nvidia-dgx-h100-640gb.html </x:t>
        </x:is>
      </x:c>
      <x:c r="AI110" s="2" t="inlineStr">
        <x:is>
          <x:t xml:space="preserve">Inflection-1,Inflection-2,MPT-30B,StarCoder 2 7B,Llama 3-70B,DBRX,Evo,Inflection-2.5,Reka Core,Reka Flash,Stable LM 2 12B,Llama 3-8B,phi-3-mini 3.8B,Jamba,Nemotron-4 340B,Multi-Token Prediction 7B,Multi-Token Prediction 13B,Llama 3.1-405B,Mamba2-Hybrid,EXAONE 3.0,Jamba 1.5-Large,OLMoE,Falcon Mamba,Pharia-1-LLM-7B,Llama 3.2 1B,Llama 3.2 3B,Llama 3.2 11B,Llama 3.2 90B,Movie Gen Video,Movie Gen Audio,phi-3.5-mini,phi-3.5-Vision,Stable Video 4D (SV4D),Yi-Lightning,Mistral Large,NVLM-D 72B,NVLM-H 72B,Luma Dream Machine,GRITLM 8x7B,Nemotron-4 15B,Tulu 3 (Tülu 3) 70B,Hermes 3 405B,Hermes 3 70B,Hermes 3 8B,DISTRO,Allegro,Zephyr 141B-A39B																																						,NVLM-X 72B,Llama 3.3 70B,Granite 3.0 8B,Granite 3.0 2B,OLMo 2 Furious 7B,OLMo 2 Furious 13B,LLaVA-CoT,Cosmos-1.0-
Diffusion-14B Video2World,TAIWAN-LLM 13B,TAIWAN-LLM 7B,TAIDE-LX-7B,Llama-3-Taiwan-70B
,SimPO,Yi-VL-34B,s1,NVILA 15B,NVILA 8B,Grok 3,Grok-2,Llama SEA-LION V2 8B,SEA-LION V3 Gemma2 9B,SEA-LION V3 Llama3.1 70B,EXAONE Deep 2.4B,EXAONE Deep 7.8B,EXAONE Deep 32B,Ovis-7B,Molmo 72B,Phi-4,Phi-3.5-MoE,Seaweed-7B,dnaGrinder,OpenELM-450M,OpenELM-3B,Nemotron-H 56B,MULAN,OpenPhenom-S/16,Quiet-STaR,Granite 3.1 2B,Granite 3.2 2B ,Granite 3.1 8B,Granite 3.2 8B,LongVU,ProtChatGPT,Zamba2-7B,ProteinStructureTransformer,Phi-4-Reasoning,Phi-4-Reasoning-plus,LLama 3..2 Typhoon 2 1B,LLama 3.2 Typhoon 2 3B,Typhoon 2 7B,Llama 3.1 Typhoon 2 8B,Llama 3.1 Typhoon 2 70B,Pleias-RAG-1B,Pleias-RAG-350m,Pleias 1.0 1.2B,Pleias 1.0 350m,Meissonic,GR00T N1 2B,Eagle 2,Gemma2 9B CPT Sahabat-AI,DCLM 7B,GAIA-2,rStar-Math (Qwen2.5-Math-7B base),rStar-Math (Qwen2-Math-7B base),Amazon Nova Canvas,Amazon Nova Reel,Amazon Nova Micro,Amazon Nova Lite,Amazon Nova Pro,Tulu 3 8B,Tulu 3 405B,OLMo 2 32B,Megrez-3B-Omni,Reka Edge,OpenBioLLM-Llama3-70B,OpenBioLLM-Llama3-8B,Earth-2 (cBottle-SR),Fish-Speech 1.4,Llama 4 Behemoth (preview),Mercury Coder Small,Mercury Coder Mini,AlphaGenome,gpt-oss-120b,gpt-oss-20b,Falcon3-7B,Falcon-H1,OpenThaiGPT 1.6 /  OTG-1.6 (72B),OpenThaiGPT R1 32b / OTG-R1 (32B),XY-LENTXL,MolmoAct-7B-D,Microsoft MAI-1 (2024 unreleased),Stable Video 4D 2.0 (SV4D 2.0),Granite-Docling,ether0,Smaug-72B,Smaug-34B,Cosmos-Predict1-14b-Video2World,Cosmos-Predict1-7b-Video2World,Cosmos-Transfer1-7B,Trillion-7B,Cosmos-Predict2.5 2B,Cosmos-Predict2.5-14B,Tiny Recursive Model (TRM-Att),OpenDiLoCo 1.1B,Olmo 3,Nemotron 3-Nano-30B-A3B,Olmo 3 32B Instruct,Olmo 3 7B Think,Olmo 3.1 32B Think</x:t>
        </x:is>
      </x:c>
      <x:c r="AJ110" s="2" t="inlineStr">
        <x:is>
          <x:t xml:space="preserve">2026-03-31 01:08:58+00:00</x:t>
        </x:is>
      </x:c>
      <x:c r="AK110" s="4" t="n">
        <x:v>1979000000000000</x:v>
      </x:c>
      <x:c r="AL110" s="4" t="n">
        <x:v>2827142857142.86</x:v>
      </x:c>
      <x:c r="AM110" s="4" t="n">
        <x:v>1.5832e+16</x:v>
      </x:c>
      <x:c r="AN110" s="4" t="n">
        <x:v>58898809523.8095</x:v>
      </x:c>
      <x:c r="AO110" s="4" t="n">
        <x:v>1979000000000000</x:v>
      </x:c>
    </x:row>
    <x:row r="111" s="9" customFormat="1" ht="100.80000305175781" customHeight="1">
      <x:c r="A111" s="2" t="inlineStr">
        <x:is>
          <x:t xml:space="preserve">NVIDIA H800 SXM5</x:t>
        </x:is>
      </x:c>
      <x:c r="B111" s="2" t="str">
        <x:f>IFERROR(VLOOKUP(TRIM($A111),_classification_map!$A$2:$C$227,2,FALSE),"")</x:f>
        <x:v>Hopper</x:v>
      </x:c>
      <x:c r="C111" s="2" t="str">
        <x:f>IFERROR(VLOOKUP(TRIM($A111),_classification_map!$A$2:$C$227,3,FALSE),"")</x:f>
        <x:v>Datacenter H-series</x:v>
      </x:c>
      <x:c r="D111" s="2" t="inlineStr">
        <x:is>
          <x:t xml:space="preserve">NVIDIA</x:t>
        </x:is>
      </x:c>
      <x:c r="E111" s="2" t="inlineStr">
        <x:is>
          <x:t xml:space="preserve">GPU</x:t>
        </x:is>
      </x:c>
      <x:c r="F111" s="2" t="n"/>
      <x:c r="G111" s="2" t="inlineStr">
        <x:is>
          <x:t xml:space="preserve">2023-03-21</x:t>
        </x:is>
      </x:c>
      <x:c r="H111" s="3" t="n"/>
      <x:c r="I111" s="4" t="n">
        <x:v>989000000000000</x:v>
      </x:c>
      <x:c r="J111" s="4" t="n"/>
      <x:c r="K111" s="4" t="n"/>
      <x:c r="L111" s="4" t="n">
        <x:v>80000000000</x:v>
      </x:c>
      <x:c r="M111" s="4" t="n">
        <x:v>3360000000000</x:v>
      </x:c>
      <x:c r="N111" s="4" t="n"/>
      <x:c r="O111" s="4" t="n"/>
      <x:c r="P111" s="5" t="n">
        <x:v>700</x:v>
      </x:c>
      <x:c r="Q111" s="4" t="n">
        <x:v>29650000000000</x:v>
      </x:c>
      <x:c r="R111" s="4" t="n">
        <x:v>59300000000000</x:v>
      </x:c>
      <x:c r="S111" s="4" t="n">
        <x:v>454500000000000</x:v>
      </x:c>
      <x:c r="T111" s="4" t="n"/>
      <x:c r="U111" s="4" t="n"/>
      <x:c r="V111" s="4" t="n">
        <x:v>1979000000000000</x:v>
      </x:c>
      <x:c r="W111" s="4" t="n"/>
      <x:c r="X111" s="2" t="inlineStr">
        <x:is>
          <x:t xml:space="preserve">TSMC</x:t>
        </x:is>
      </x:c>
      <x:c r="Y111" s="5" t="n">
        <x:v>814</x:v>
      </x:c>
      <x:c r="Z111" s="5" t="n">
        <x:v>1095</x:v>
      </x:c>
      <x:c r="AA111" s="5" t="n">
        <x:v>1755</x:v>
      </x:c>
      <x:c r="AB111" s="5" t="n"/>
      <x:c r="AC111" s="5" t="n">
        <x:v>5120</x:v>
      </x:c>
      <x:c r="AD111" s="5" t="n">
        <x:v>456</x:v>
      </x:c>
      <x:c r="AE111" s="5" t="n">
        <x:v>5</x:v>
      </x:c>
      <x:c r="AF111" s="5" t="n">
        <x:v>80000</x:v>
      </x:c>
      <x:c r="AG111" s="2" t="inlineStr">
        <x:is>
          <x:t xml:space="preserve">https://www.techpowerup.com/gpu-specs/h800-sxm5.c3975</x:t>
        </x:is>
      </x:c>
      <x:c r="AH111" s="2" t="n"/>
      <x:c r="AI111" s="2" t="inlineStr">
        <x:is>
          <x:t xml:space="preserve">DeepSeekMoE-16B,DeepSeek-V2 (MoE-236B),RWKV-5 (Eagle) 7B,DeepSeek-V3,LLaDA,Step-Video-T2V,MAP-Neo,MiniMax-Text-01,MiniMax-VL-01,MiniMax-M1-40k,MiniMax-M1-80k,Seed1.5-VL,ERNIE-4.5-300B-A47B,Xingrui AI (星睿AI),NTele-R1-32B-V1,Step-Omni,Kimi K2,YuE,Skywork-OR1-32B,dots.llm1,Ring-flash-linear-2.0,Ring-mini-linear-2.0,DeepSeek-V3 (Mar 2025),Kimi K2.5</x:t>
        </x:is>
      </x:c>
      <x:c r="AJ111" s="2" t="inlineStr">
        <x:is>
          <x:t xml:space="preserve">2026-03-18 15:34:46+00:00</x:t>
        </x:is>
      </x:c>
      <x:c r="AK111" s="4" t="n">
        <x:v>1979000000000000</x:v>
      </x:c>
      <x:c r="AL111" s="4" t="n">
        <x:v>2827142857142.86</x:v>
      </x:c>
      <x:c r="AM111" s="4" t="n">
        <x:v>1.5832e+16</x:v>
      </x:c>
      <x:c r="AN111" s="4" t="n"/>
      <x:c r="AO111" s="4" t="n">
        <x:v>1979000000000000</x:v>
      </x:c>
    </x:row>
    <x:row r="112" s="9" customFormat="1" ht="28.799999237060547" customHeight="1">
      <x:c r="A112" s="2" t="inlineStr">
        <x:is>
          <x:t xml:space="preserve">NVIDIA Quadro RTX 4000</x:t>
        </x:is>
      </x:c>
      <x:c r="B112" s="2" t="str">
        <x:f>IFERROR(VLOOKUP(TRIM($A112),_classification_map!$A$2:$C$227,2,FALSE),"")</x:f>
        <x:v>Turing</x:v>
      </x:c>
      <x:c r="C112" s="2" t="str">
        <x:f>IFERROR(VLOOKUP(TRIM($A112),_classification_map!$A$2:$C$227,3,FALSE),"")</x:f>
        <x:v>Quadro</x:v>
      </x:c>
      <x:c r="D112" s="2" t="inlineStr">
        <x:is>
          <x:t xml:space="preserve">NVIDIA</x:t>
        </x:is>
      </x:c>
      <x:c r="E112" s="2" t="inlineStr">
        <x:is>
          <x:t xml:space="preserve">GPU</x:t>
        </x:is>
      </x:c>
      <x:c r="F112" s="2" t="n"/>
      <x:c r="G112" s="2" t="inlineStr">
        <x:is>
          <x:t xml:space="preserve">2018-11-13</x:t>
        </x:is>
      </x:c>
      <x:c r="H112" s="3" t="n">
        <x:v>899</x:v>
      </x:c>
      <x:c r="I112" s="4" t="n">
        <x:v>57000000000000</x:v>
      </x:c>
      <x:c r="J112" s="4" t="n"/>
      <x:c r="K112" s="4" t="n"/>
      <x:c r="L112" s="4" t="n">
        <x:v>8000000000</x:v>
      </x:c>
      <x:c r="M112" s="4" t="n">
        <x:v>416000000000</x:v>
      </x:c>
      <x:c r="N112" s="4" t="n"/>
      <x:c r="O112" s="4" t="n"/>
      <x:c r="P112" s="5" t="n">
        <x:v>160</x:v>
      </x:c>
      <x:c r="Q112" s="4" t="n">
        <x:v>222500000000</x:v>
      </x:c>
      <x:c r="R112" s="4" t="n">
        <x:v>7119000000000</x:v>
      </x:c>
      <x:c r="S112" s="4" t="n"/>
      <x:c r="T112" s="4" t="n">
        <x:v>14240000000000</x:v>
      </x:c>
      <x:c r="U112" s="4" t="n"/>
      <x:c r="V112" s="4" t="n"/>
      <x:c r="W112" s="4" t="n"/>
      <x:c r="X112" s="2" t="inlineStr">
        <x:is>
          <x:t xml:space="preserve">TSMC</x:t>
        </x:is>
      </x:c>
      <x:c r="Y112" s="5" t="n">
        <x:v>545</x:v>
      </x:c>
      <x:c r="Z112" s="5" t="n">
        <x:v>1005</x:v>
      </x:c>
      <x:c r="AA112" s="5" t="n">
        <x:v>1545</x:v>
      </x:c>
      <x:c r="AB112" s="5" t="n">
        <x:v>1625</x:v>
      </x:c>
      <x:c r="AC112" s="5" t="n">
        <x:v>256</x:v>
      </x:c>
      <x:c r="AD112" s="5" t="n">
        <x:v>288</x:v>
      </x:c>
      <x:c r="AE112" s="5" t="n">
        <x:v>12</x:v>
      </x:c>
      <x:c r="AF112" s="5" t="n">
        <x:v>13600</x:v>
      </x:c>
      <x:c r="AG112" s="2" t="inlineStr">
        <x:is>
          <x:t xml:space="preserve">https://www.techpowerup.com/gpu-specs/quadro-rtx-4000.c3336</x:t>
        </x:is>
      </x:c>
      <x:c r="AH112" s="2" t="inlineStr">
        <x:is>
          <x:t xml:space="preserve">https://videocardz.net/nvidia-quadro-rtx-4000</x:t>
        </x:is>
      </x:c>
      <x:c r="AI112" s="2" t="inlineStr">
        <x:is>
          <x:t xml:space="preserve">CaLM</x:t>
        </x:is>
      </x:c>
      <x:c r="AJ112" s="2" t="inlineStr">
        <x:is>
          <x:t xml:space="preserve">2026-03-18 12:56:18+00:00</x:t>
        </x:is>
      </x:c>
      <x:c r="AK112" s="4" t="n">
        <x:v>14240000000000</x:v>
      </x:c>
      <x:c r="AL112" s="4" t="n">
        <x:v>89000000000</x:v>
      </x:c>
      <x:c r="AM112" s="4" t="n">
        <x:v>227840000000000</x:v>
      </x:c>
      <x:c r="AN112" s="4" t="n">
        <x:v>15839822024.4716</x:v>
      </x:c>
      <x:c r="AO112" s="4" t="n">
        <x:v>14240000000000</x:v>
      </x:c>
    </x:row>
    <x:row r="113" s="9" customFormat="1" ht="28.799999237060547" customHeight="1">
      <x:c r="A113" s="2" t="inlineStr">
        <x:is>
          <x:t xml:space="preserve">Huawei Ascend 310</x:t>
        </x:is>
      </x:c>
      <x:c r="B113" s="2" t="str">
        <x:f>IFERROR(VLOOKUP(TRIM($A113),_classification_map!$A$2:$C$227,2,FALSE),"")</x:f>
        <x:v>Ascend 310</x:v>
      </x:c>
      <x:c r="C113" s="2" t="str">
        <x:f>IFERROR(VLOOKUP(TRIM($A113),_classification_map!$A$2:$C$227,3,FALSE),"")</x:f>
        <x:v>Ascend</x:v>
      </x:c>
      <x:c r="D113" s="2" t="inlineStr">
        <x:is>
          <x:t xml:space="preserve">Huawei</x:t>
        </x:is>
      </x:c>
      <x:c r="E113" s="2" t="inlineStr">
        <x:is>
          <x:t xml:space="preserve">GPU</x:t>
        </x:is>
      </x:c>
      <x:c r="F113" s="2" t="n"/>
      <x:c r="G113" s="2" t="inlineStr">
        <x:is>
          <x:t xml:space="preserve">2018-10-10</x:t>
        </x:is>
      </x:c>
      <x:c r="H113" s="3" t="n"/>
      <x:c r="I113" s="4" t="n"/>
      <x:c r="J113" s="4" t="n"/>
      <x:c r="K113" s="4" t="n"/>
      <x:c r="L113" s="4" t="n"/>
      <x:c r="M113" s="4" t="n">
        <x:v>51200000000</x:v>
      </x:c>
      <x:c r="N113" s="4" t="n"/>
      <x:c r="O113" s="4" t="n"/>
      <x:c r="P113" s="5" t="n">
        <x:v>8</x:v>
      </x:c>
      <x:c r="Q113" s="4" t="n"/>
      <x:c r="R113" s="4" t="n"/>
      <x:c r="S113" s="4" t="n"/>
      <x:c r="T113" s="4" t="n">
        <x:v>8000000000000</x:v>
      </x:c>
      <x:c r="U113" s="4" t="n"/>
      <x:c r="V113" s="4" t="n">
        <x:v>16000000000000</x:v>
      </x:c>
      <x:c r="W113" s="4" t="n"/>
      <x:c r="X113" s="2" t="n"/>
      <x:c r="Y113" s="5" t="n">
        <x:v>105</x:v>
      </x:c>
      <x:c r="Z113" s="5" t="n"/>
      <x:c r="AA113" s="5" t="n"/>
      <x:c r="AB113" s="5" t="n"/>
      <x:c r="AC113" s="5" t="n"/>
      <x:c r="AD113" s="5" t="n"/>
      <x:c r="AE113" s="5" t="n">
        <x:v>12</x:v>
      </x:c>
      <x:c r="AF113" s="5" t="n"/>
      <x:c r="AG113" s="2" t="inlineStr">
        <x:is>
          <x:t xml:space="preserve">https://old.hotchips.org/hc31/HC31_1.11_Huawei.Davinci.HengLiao_v4.0.pdf</x:t>
        </x:is>
      </x:c>
      <x:c r="AH113" s="2" t="n"/>
      <x:c r="AI113" s="2" t="n"/>
      <x:c r="AJ113" s="2" t="inlineStr">
        <x:is>
          <x:t xml:space="preserve">2025-07-21 09:53:47+00:00</x:t>
        </x:is>
      </x:c>
      <x:c r="AK113" s="4" t="n">
        <x:v>16000000000000</x:v>
      </x:c>
      <x:c r="AL113" s="4" t="n">
        <x:v>2000000000000</x:v>
      </x:c>
      <x:c r="AM113" s="4" t="n">
        <x:v>128000000000000</x:v>
      </x:c>
      <x:c r="AN113" s="4" t="n"/>
      <x:c r="AO113" s="4" t="n">
        <x:v>16000000000000</x:v>
      </x:c>
    </x:row>
    <x:row r="114" s="9" customFormat="1" ht="57.599998474121094" customHeight="1">
      <x:c r="A114" s="2" t="inlineStr">
        <x:is>
          <x:t xml:space="preserve">NVIDIA GeForce RTX 2080 Ti 11GB</x:t>
        </x:is>
      </x:c>
      <x:c r="B114" s="2" t="str">
        <x:f>IFERROR(VLOOKUP(TRIM($A114),_classification_map!$A$2:$C$227,2,FALSE),"")</x:f>
        <x:v>Turing</x:v>
      </x:c>
      <x:c r="C114" s="2" t="str">
        <x:f>IFERROR(VLOOKUP(TRIM($A114),_classification_map!$A$2:$C$227,3,FALSE),"")</x:f>
        <x:v>GeForce RTX</x:v>
      </x:c>
      <x:c r="D114" s="2" t="inlineStr">
        <x:is>
          <x:t xml:space="preserve">NVIDIA</x:t>
        </x:is>
      </x:c>
      <x:c r="E114" s="2" t="inlineStr">
        <x:is>
          <x:t xml:space="preserve">GPU</x:t>
        </x:is>
      </x:c>
      <x:c r="F114" s="2" t="n"/>
      <x:c r="G114" s="2" t="inlineStr">
        <x:is>
          <x:t xml:space="preserve">2018-09-20</x:t>
        </x:is>
      </x:c>
      <x:c r="H114" s="3" t="n">
        <x:v>999</x:v>
      </x:c>
      <x:c r="I114" s="4" t="n">
        <x:v>113800000000000</x:v>
      </x:c>
      <x:c r="J114" s="4" t="n"/>
      <x:c r="K114" s="4" t="n"/>
      <x:c r="L114" s="4" t="n">
        <x:v>11000000000</x:v>
      </x:c>
      <x:c r="M114" s="4" t="n">
        <x:v>616000000000</x:v>
      </x:c>
      <x:c r="N114" s="4" t="n"/>
      <x:c r="O114" s="4" t="n"/>
      <x:c r="P114" s="5" t="n">
        <x:v>250</x:v>
      </x:c>
      <x:c r="Q114" s="4" t="n">
        <x:v>420200000000</x:v>
      </x:c>
      <x:c r="R114" s="4" t="n">
        <x:v>13450000000000</x:v>
      </x:c>
      <x:c r="S114" s="4" t="n"/>
      <x:c r="T114" s="4" t="n">
        <x:v>26900000000000</x:v>
      </x:c>
      <x:c r="U114" s="4" t="n"/>
      <x:c r="V114" s="4" t="n">
        <x:v>227700000000000</x:v>
      </x:c>
      <x:c r="W114" s="4" t="n"/>
      <x:c r="X114" s="2" t="inlineStr">
        <x:is>
          <x:t xml:space="preserve">TSMC</x:t>
        </x:is>
      </x:c>
      <x:c r="Y114" s="5" t="n">
        <x:v>754</x:v>
      </x:c>
      <x:c r="Z114" s="5" t="n">
        <x:v>1350</x:v>
      </x:c>
      <x:c r="AA114" s="5" t="n">
        <x:v>1545</x:v>
      </x:c>
      <x:c r="AB114" s="5" t="n">
        <x:v>1750</x:v>
      </x:c>
      <x:c r="AC114" s="5" t="n">
        <x:v>352</x:v>
      </x:c>
      <x:c r="AD114" s="5" t="n">
        <x:v>544</x:v>
      </x:c>
      <x:c r="AE114" s="5" t="n">
        <x:v>12</x:v>
      </x:c>
      <x:c r="AF114" s="5" t="n">
        <x:v>18600</x:v>
      </x:c>
      <x:c r="AG114" s="2" t="inlineStr">
        <x:is>
          <x:t xml:space="preserve">https://www.techpowerup.com/gpu-specs/geforce-rtx-2080-ti.c3305</x:t>
        </x:is>
      </x:c>
      <x:c r="AH114" s="2" t="n"/>
      <x:c r="AI114" s="2" t="inlineStr">
        <x:is>
          <x:t xml:space="preserve">YuYan 11B,DNABERT,EpiScan,Transformer-XL DeFINE (107M),$\infty$-former (SM),DEQ-Transformer (Post-LN) + Jacobian Regularisation,Memformer (4 encoder + 16 decoder),LSTM-3-layer+Gadam,TaLK Convolution</x:t>
        </x:is>
      </x:c>
      <x:c r="AJ114" s="2" t="inlineStr">
        <x:is>
          <x:t xml:space="preserve">2026-03-18 12:56:18+00:00</x:t>
        </x:is>
      </x:c>
      <x:c r="AK114" s="4" t="n">
        <x:v>227700000000000</x:v>
      </x:c>
      <x:c r="AL114" s="4" t="n">
        <x:v>910800000000</x:v>
      </x:c>
      <x:c r="AM114" s="4" t="n">
        <x:v>1821600000000000</x:v>
      </x:c>
      <x:c r="AN114" s="4" t="n">
        <x:v>227927927927.928</x:v>
      </x:c>
      <x:c r="AO114" s="4" t="n">
        <x:v>227700000000000</x:v>
      </x:c>
    </x:row>
    <x:row r="115" s="9" customFormat="1" ht="100.80000305175781" customHeight="1">
      <x:c r="A115" s="2" t="inlineStr">
        <x:is>
          <x:t xml:space="preserve">NVIDIA H800 PCIe</x:t>
        </x:is>
      </x:c>
      <x:c r="B115" s="2" t="str">
        <x:f>IFERROR(VLOOKUP(TRIM($A115),_classification_map!$A$2:$C$227,2,FALSE),"")</x:f>
        <x:v>Hopper</x:v>
      </x:c>
      <x:c r="C115" s="2" t="str">
        <x:f>IFERROR(VLOOKUP(TRIM($A115),_classification_map!$A$2:$C$227,3,FALSE),"")</x:f>
        <x:v>Datacenter H-series</x:v>
      </x:c>
      <x:c r="D115" s="2" t="inlineStr">
        <x:is>
          <x:t xml:space="preserve">NVIDIA</x:t>
        </x:is>
      </x:c>
      <x:c r="E115" s="2" t="inlineStr">
        <x:is>
          <x:t xml:space="preserve">GPU</x:t>
        </x:is>
      </x:c>
      <x:c r="F115" s="2" t="n"/>
      <x:c r="G115" s="2" t="inlineStr">
        <x:is>
          <x:t xml:space="preserve">2023-03-21</x:t>
        </x:is>
      </x:c>
      <x:c r="H115" s="3" t="n"/>
      <x:c r="I115" s="4" t="n">
        <x:v>989000000000000</x:v>
      </x:c>
      <x:c r="J115" s="4" t="n"/>
      <x:c r="K115" s="4" t="n"/>
      <x:c r="L115" s="4" t="n">
        <x:v>80000000000</x:v>
      </x:c>
      <x:c r="M115" s="4" t="n">
        <x:v>3360000000000</x:v>
      </x:c>
      <x:c r="N115" s="4" t="n"/>
      <x:c r="O115" s="4" t="n"/>
      <x:c r="P115" s="5" t="n">
        <x:v>700</x:v>
      </x:c>
      <x:c r="Q115" s="4" t="n">
        <x:v>29650000000000</x:v>
      </x:c>
      <x:c r="R115" s="4" t="n">
        <x:v>59300000000000</x:v>
      </x:c>
      <x:c r="S115" s="4" t="n">
        <x:v>454500000000000</x:v>
      </x:c>
      <x:c r="T115" s="4" t="n"/>
      <x:c r="U115" s="4" t="n"/>
      <x:c r="V115" s="4" t="n">
        <x:v>1979000000000000</x:v>
      </x:c>
      <x:c r="W115" s="4" t="n"/>
      <x:c r="X115" s="2" t="inlineStr">
        <x:is>
          <x:t xml:space="preserve">TSMC</x:t>
        </x:is>
      </x:c>
      <x:c r="Y115" s="5" t="n">
        <x:v>814</x:v>
      </x:c>
      <x:c r="Z115" s="5" t="n">
        <x:v>1095</x:v>
      </x:c>
      <x:c r="AA115" s="5" t="n">
        <x:v>1755</x:v>
      </x:c>
      <x:c r="AB115" s="5" t="n"/>
      <x:c r="AC115" s="5" t="n">
        <x:v>5120</x:v>
      </x:c>
      <x:c r="AD115" s="5" t="n">
        <x:v>456</x:v>
      </x:c>
      <x:c r="AE115" s="5" t="n">
        <x:v>5</x:v>
      </x:c>
      <x:c r="AF115" s="5" t="n">
        <x:v>80000</x:v>
      </x:c>
      <x:c r="AG115" s="2" t="inlineStr">
        <x:is>
          <x:t xml:space="preserve">https://www.techpowerup.com/gpu-specs/h800-sxm5.c3975</x:t>
        </x:is>
      </x:c>
      <x:c r="AH115" s="2" t="n"/>
      <x:c r="AI115" s="2" t="inlineStr">
        <x:is>
          <x:t xml:space="preserve">DeepSeekMoE-16B,DeepSeek-V2 (MoE-236B),RWKV-5 (Eagle) 7B,DeepSeek-V3,LLaDA,Step-Video-T2V,MAP-Neo,MiniMax-Text-01,MiniMax-VL-01,MiniMax-M1-40k,MiniMax-M1-80k,Seed1.5-VL,ERNIE-4.5-300B-A47B,Xingrui AI (星睿AI),NTele-R1-32B-V1,Step-Omni,Kimi K2,YuE,Skywork-OR1-32B,dots.llm1,Ring-flash-linear-2.0,Ring-mini-linear-2.0,DeepSeek-V3 (Mar 2025),Kimi K2.5</x:t>
        </x:is>
      </x:c>
      <x:c r="AJ115" s="2" t="inlineStr">
        <x:is>
          <x:t xml:space="preserve">2026-03-05 15:31:07+00:00</x:t>
        </x:is>
      </x:c>
      <x:c r="AK115" s="4" t="n">
        <x:v>1979000000000000</x:v>
      </x:c>
      <x:c r="AL115" s="4" t="n">
        <x:v>2827140000000</x:v>
      </x:c>
      <x:c r="AM115" s="4" t="n">
        <x:v>1.58e+16</x:v>
      </x:c>
      <x:c r="AN115" s="4" t="n"/>
      <x:c r="AO115" s="4" t="n">
        <x:v>1979000000000000</x:v>
      </x:c>
    </x:row>
    <x:row r="116" s="9" customFormat="1" ht="28.799999237060547" customHeight="1">
      <x:c r="A116" s="2" t="inlineStr">
        <x:is>
          <x:t xml:space="preserve">NVIDIA Quadro RTX 6000</x:t>
        </x:is>
      </x:c>
      <x:c r="B116" s="2" t="str">
        <x:f>IFERROR(VLOOKUP(TRIM($A116),_classification_map!$A$2:$C$227,2,FALSE),"")</x:f>
        <x:v>Turing</x:v>
      </x:c>
      <x:c r="C116" s="2" t="str">
        <x:f>IFERROR(VLOOKUP(TRIM($A116),_classification_map!$A$2:$C$227,3,FALSE),"")</x:f>
        <x:v>Quadro</x:v>
      </x:c>
      <x:c r="D116" s="2" t="inlineStr">
        <x:is>
          <x:t xml:space="preserve">NVIDIA</x:t>
        </x:is>
      </x:c>
      <x:c r="E116" s="2" t="inlineStr">
        <x:is>
          <x:t xml:space="preserve">GPU</x:t>
        </x:is>
      </x:c>
      <x:c r="F116" s="2" t="n"/>
      <x:c r="G116" s="2" t="inlineStr">
        <x:is>
          <x:t xml:space="preserve">2018-08-13</x:t>
        </x:is>
      </x:c>
      <x:c r="H116" s="3" t="n">
        <x:v>6300</x:v>
      </x:c>
      <x:c r="I116" s="4" t="n">
        <x:v>89200000000000</x:v>
      </x:c>
      <x:c r="J116" s="4" t="n"/>
      <x:c r="K116" s="4" t="n"/>
      <x:c r="L116" s="4" t="n">
        <x:v>24000000000</x:v>
      </x:c>
      <x:c r="M116" s="4" t="n">
        <x:v>672000000000</x:v>
      </x:c>
      <x:c r="N116" s="4" t="n"/>
      <x:c r="O116" s="4" t="n"/>
      <x:c r="P116" s="5" t="n">
        <x:v>260</x:v>
      </x:c>
      <x:c r="Q116" s="4" t="n">
        <x:v>509800000000</x:v>
      </x:c>
      <x:c r="R116" s="4" t="n">
        <x:v>16309999999999.9</x:v>
      </x:c>
      <x:c r="S116" s="4" t="n"/>
      <x:c r="T116" s="4" t="n">
        <x:v>32620000000000</x:v>
      </x:c>
      <x:c r="U116" s="4" t="n"/>
      <x:c r="V116" s="4" t="n"/>
      <x:c r="W116" s="4" t="n"/>
      <x:c r="X116" s="2" t="inlineStr">
        <x:is>
          <x:t xml:space="preserve">TSMC</x:t>
        </x:is>
      </x:c>
      <x:c r="Y116" s="5" t="n">
        <x:v>754</x:v>
      </x:c>
      <x:c r="Z116" s="5" t="n">
        <x:v>1440</x:v>
      </x:c>
      <x:c r="AA116" s="5" t="n">
        <x:v>1770</x:v>
      </x:c>
      <x:c r="AB116" s="5" t="n">
        <x:v>1750</x:v>
      </x:c>
      <x:c r="AC116" s="5" t="n">
        <x:v>384</x:v>
      </x:c>
      <x:c r="AD116" s="5" t="n">
        <x:v>576</x:v>
      </x:c>
      <x:c r="AE116" s="5" t="n">
        <x:v>12</x:v>
      </x:c>
      <x:c r="AF116" s="5" t="n">
        <x:v>18600</x:v>
      </x:c>
      <x:c r="AG116" s="2" t="inlineStr">
        <x:is>
          <x:t xml:space="preserve">https://www.techpowerup.com/gpu-specs/quadro-rtx-6000.c3307</x:t>
        </x:is>
      </x:c>
      <x:c r="AH116" s="2" t="inlineStr">
        <x:is>
          <x:t xml:space="preserve">https://videocardz.net/nvidia-quadro-rtx-6000</x:t>
        </x:is>
      </x:c>
      <x:c r="AI116" s="2" t="inlineStr">
        <x:is>
          <x:t xml:space="preserve">Projected GAN</x:t>
        </x:is>
      </x:c>
      <x:c r="AJ116" s="2" t="inlineStr">
        <x:is>
          <x:t xml:space="preserve">2026-03-18 12:56:18+00:00</x:t>
        </x:is>
      </x:c>
      <x:c r="AK116" s="4" t="n">
        <x:v>32620000000000</x:v>
      </x:c>
      <x:c r="AL116" s="4" t="n">
        <x:v>125461538461.538</x:v>
      </x:c>
      <x:c r="AM116" s="4" t="n">
        <x:v>521920000000000</x:v>
      </x:c>
      <x:c r="AN116" s="4" t="n">
        <x:v>5177777777.77778</x:v>
      </x:c>
      <x:c r="AO116" s="4" t="n">
        <x:v>32620000000000</x:v>
      </x:c>
    </x:row>
    <x:row r="117" s="9" customFormat="1" ht="28.799999237060547" customHeight="1">
      <x:c r="A117" s="2" t="inlineStr">
        <x:is>
          <x:t xml:space="preserve">NVIDIA Quadro RTX 5000</x:t>
        </x:is>
      </x:c>
      <x:c r="B117" s="2" t="str">
        <x:f>IFERROR(VLOOKUP(TRIM($A117),_classification_map!$A$2:$C$227,2,FALSE),"")</x:f>
        <x:v>Turing</x:v>
      </x:c>
      <x:c r="C117" s="2" t="str">
        <x:f>IFERROR(VLOOKUP(TRIM($A117),_classification_map!$A$2:$C$227,3,FALSE),"")</x:f>
        <x:v>Quadro</x:v>
      </x:c>
      <x:c r="D117" s="2" t="inlineStr">
        <x:is>
          <x:t xml:space="preserve">NVIDIA</x:t>
        </x:is>
      </x:c>
      <x:c r="E117" s="2" t="inlineStr">
        <x:is>
          <x:t xml:space="preserve">GPU</x:t>
        </x:is>
      </x:c>
      <x:c r="F117" s="2" t="n"/>
      <x:c r="G117" s="2" t="inlineStr">
        <x:is>
          <x:t xml:space="preserve">2018-08-13</x:t>
        </x:is>
      </x:c>
      <x:c r="H117" s="3" t="n">
        <x:v>2300</x:v>
      </x:c>
      <x:c r="I117" s="4" t="n">
        <x:v>130500000000000</x:v>
      </x:c>
      <x:c r="J117" s="4" t="n"/>
      <x:c r="K117" s="4" t="n"/>
      <x:c r="L117" s="4" t="n">
        <x:v>16000000000</x:v>
      </x:c>
      <x:c r="M117" s="4" t="n">
        <x:v>448000000000</x:v>
      </x:c>
      <x:c r="N117" s="4" t="n"/>
      <x:c r="O117" s="4" t="n"/>
      <x:c r="P117" s="5" t="n">
        <x:v>230</x:v>
      </x:c>
      <x:c r="Q117" s="4" t="n">
        <x:v>348500000000</x:v>
      </x:c>
      <x:c r="R117" s="4" t="n">
        <x:v>11150000000000</x:v>
      </x:c>
      <x:c r="S117" s="4" t="n"/>
      <x:c r="T117" s="4" t="n">
        <x:v>22300000000000</x:v>
      </x:c>
      <x:c r="U117" s="4" t="n"/>
      <x:c r="V117" s="4" t="n"/>
      <x:c r="W117" s="4" t="n"/>
      <x:c r="X117" s="2" t="inlineStr">
        <x:is>
          <x:t xml:space="preserve">TSMC</x:t>
        </x:is>
      </x:c>
      <x:c r="Y117" s="5" t="n">
        <x:v>545</x:v>
      </x:c>
      <x:c r="Z117" s="5" t="n">
        <x:v>1620</x:v>
      </x:c>
      <x:c r="AA117" s="5" t="n">
        <x:v>1815</x:v>
      </x:c>
      <x:c r="AB117" s="5" t="n">
        <x:v>1750</x:v>
      </x:c>
      <x:c r="AC117" s="5" t="n">
        <x:v>256</x:v>
      </x:c>
      <x:c r="AD117" s="5" t="n">
        <x:v>384</x:v>
      </x:c>
      <x:c r="AE117" s="5" t="n">
        <x:v>12</x:v>
      </x:c>
      <x:c r="AF117" s="5" t="n">
        <x:v>13600</x:v>
      </x:c>
      <x:c r="AG117" s="2" t="inlineStr">
        <x:is>
          <x:t xml:space="preserve">https://www.techpowerup.com/gpu-specs/quadro-rtx-5000.c3308</x:t>
        </x:is>
      </x:c>
      <x:c r="AH117" s="2" t="inlineStr">
        <x:is>
          <x:t xml:space="preserve">https://videocardz.net/nvidia-quadro-rtx-5000</x:t>
        </x:is>
      </x:c>
      <x:c r="AI117" s="2" t="inlineStr">
        <x:is>
          <x:t xml:space="preserve">ProteinBERT</x:t>
        </x:is>
      </x:c>
      <x:c r="AJ117" s="2" t="inlineStr">
        <x:is>
          <x:t xml:space="preserve">2026-03-18 12:56:18+00:00</x:t>
        </x:is>
      </x:c>
      <x:c r="AK117" s="4" t="n">
        <x:v>22300000000000</x:v>
      </x:c>
      <x:c r="AL117" s="4" t="n">
        <x:v>96956521739.1304</x:v>
      </x:c>
      <x:c r="AM117" s="4" t="n">
        <x:v>356800000000000</x:v>
      </x:c>
      <x:c r="AN117" s="4" t="n">
        <x:v>9695652173.91304</x:v>
      </x:c>
      <x:c r="AO117" s="4" t="n">
        <x:v>22300000000000</x:v>
      </x:c>
    </x:row>
    <x:row r="118" s="9" customFormat="1" ht="28.799999237060547" customHeight="1">
      <x:c r="A118" s="2" t="inlineStr">
        <x:is>
          <x:t xml:space="preserve">NVIDIA Quadro RTX 8000</x:t>
        </x:is>
      </x:c>
      <x:c r="B118" s="2" t="str">
        <x:f>IFERROR(VLOOKUP(TRIM($A118),_classification_map!$A$2:$C$227,2,FALSE),"")</x:f>
        <x:v>Turing</x:v>
      </x:c>
      <x:c r="C118" s="2" t="str">
        <x:f>IFERROR(VLOOKUP(TRIM($A118),_classification_map!$A$2:$C$227,3,FALSE),"")</x:f>
        <x:v>Quadro</x:v>
      </x:c>
      <x:c r="D118" s="2" t="inlineStr">
        <x:is>
          <x:t xml:space="preserve">NVIDIA</x:t>
        </x:is>
      </x:c>
      <x:c r="E118" s="2" t="inlineStr">
        <x:is>
          <x:t xml:space="preserve">GPU</x:t>
        </x:is>
      </x:c>
      <x:c r="F118" s="2" t="n"/>
      <x:c r="G118" s="2" t="inlineStr">
        <x:is>
          <x:t xml:space="preserve">2018-08-13</x:t>
        </x:is>
      </x:c>
      <x:c r="H118" s="3" t="n"/>
      <x:c r="I118" s="4" t="n">
        <x:v>110000000000000</x:v>
      </x:c>
      <x:c r="J118" s="4" t="n"/>
      <x:c r="K118" s="4" t="n"/>
      <x:c r="L118" s="4" t="n">
        <x:v>48000000000</x:v>
      </x:c>
      <x:c r="M118" s="4" t="n">
        <x:v>672000000000</x:v>
      </x:c>
      <x:c r="N118" s="4" t="n"/>
      <x:c r="O118" s="4" t="n"/>
      <x:c r="P118" s="5" t="n">
        <x:v>260</x:v>
      </x:c>
      <x:c r="Q118" s="4" t="n">
        <x:v>509800000000</x:v>
      </x:c>
      <x:c r="R118" s="4" t="n">
        <x:v>16300000000000</x:v>
      </x:c>
      <x:c r="S118" s="4" t="n"/>
      <x:c r="T118" s="4" t="n">
        <x:v>32620000000000</x:v>
      </x:c>
      <x:c r="U118" s="4" t="n"/>
      <x:c r="V118" s="4" t="n"/>
      <x:c r="W118" s="4" t="n"/>
      <x:c r="X118" s="2" t="inlineStr">
        <x:is>
          <x:t xml:space="preserve">TSMC</x:t>
        </x:is>
      </x:c>
      <x:c r="Y118" s="5" t="n">
        <x:v>754</x:v>
      </x:c>
      <x:c r="Z118" s="5" t="n">
        <x:v>1395</x:v>
      </x:c>
      <x:c r="AA118" s="5" t="n">
        <x:v>1770</x:v>
      </x:c>
      <x:c r="AB118" s="5" t="n">
        <x:v>1750</x:v>
      </x:c>
      <x:c r="AC118" s="5" t="n">
        <x:v>384</x:v>
      </x:c>
      <x:c r="AD118" s="5" t="n">
        <x:v>576</x:v>
      </x:c>
      <x:c r="AE118" s="5" t="n">
        <x:v>12</x:v>
      </x:c>
      <x:c r="AF118" s="5" t="n">
        <x:v>18600</x:v>
      </x:c>
      <x:c r="AG118" s="2" t="inlineStr">
        <x:is>
          <x:t xml:space="preserve">https://www.techpowerup.com/gpu-specs/quadro-rtx-8000.c3306</x:t>
        </x:is>
      </x:c>
      <x:c r="AH118" s="2" t="n"/>
      <x:c r="AI118" s="2" t="inlineStr">
        <x:is>
          <x:t xml:space="preserve">PolyCoder,MiniGPT4 + LRV-Instruction,Verbatim Memory Transformer (108M)</x:t>
        </x:is>
      </x:c>
      <x:c r="AJ118" s="2" t="inlineStr">
        <x:is>
          <x:t xml:space="preserve">2026-03-18 12:56:18+00:00</x:t>
        </x:is>
      </x:c>
      <x:c r="AK118" s="4" t="n">
        <x:v>32620000000000</x:v>
      </x:c>
      <x:c r="AL118" s="4" t="n">
        <x:v>125461538461.538</x:v>
      </x:c>
      <x:c r="AM118" s="4" t="n">
        <x:v>521920000000000</x:v>
      </x:c>
      <x:c r="AN118" s="4" t="n"/>
      <x:c r="AO118" s="4" t="n">
        <x:v>32620000000000</x:v>
      </x:c>
    </x:row>
    <x:row r="119" s="9" customFormat="1" ht="100.80000305175781" customHeight="1">
      <x:c r="A119" s="2" t="inlineStr">
        <x:is>
          <x:t xml:space="preserve">NVIDIA H800 NVL</x:t>
        </x:is>
      </x:c>
      <x:c r="B119" s="2" t="str">
        <x:f>IFERROR(VLOOKUP(TRIM($A119),_classification_map!$A$2:$C$227,2,FALSE),"")</x:f>
        <x:v>Hopper</x:v>
      </x:c>
      <x:c r="C119" s="2" t="str">
        <x:f>IFERROR(VLOOKUP(TRIM($A119),_classification_map!$A$2:$C$227,3,FALSE),"")</x:f>
        <x:v>Datacenter H-series</x:v>
      </x:c>
      <x:c r="D119" s="2" t="inlineStr">
        <x:is>
          <x:t xml:space="preserve">NVIDIA</x:t>
        </x:is>
      </x:c>
      <x:c r="E119" s="2" t="inlineStr">
        <x:is>
          <x:t xml:space="preserve">GPU</x:t>
        </x:is>
      </x:c>
      <x:c r="F119" s="2" t="n"/>
      <x:c r="G119" s="2" t="inlineStr">
        <x:is>
          <x:t xml:space="preserve">2023-03-21</x:t>
        </x:is>
      </x:c>
      <x:c r="H119" s="3" t="n"/>
      <x:c r="I119" s="4" t="n">
        <x:v>989000000000000</x:v>
      </x:c>
      <x:c r="J119" s="4" t="n"/>
      <x:c r="K119" s="4" t="n"/>
      <x:c r="L119" s="4" t="n">
        <x:v>94000000000</x:v>
      </x:c>
      <x:c r="M119" s="4" t="n">
        <x:v>3360000000000</x:v>
      </x:c>
      <x:c r="N119" s="4" t="n"/>
      <x:c r="O119" s="4" t="n"/>
      <x:c r="P119" s="5" t="n">
        <x:v>700</x:v>
      </x:c>
      <x:c r="Q119" s="4" t="n">
        <x:v>29650000000000</x:v>
      </x:c>
      <x:c r="R119" s="4" t="n">
        <x:v>59300000000000</x:v>
      </x:c>
      <x:c r="S119" s="4" t="n">
        <x:v>454500000000000</x:v>
      </x:c>
      <x:c r="T119" s="4" t="n"/>
      <x:c r="U119" s="4" t="n"/>
      <x:c r="V119" s="4" t="n">
        <x:v>1979000000000000</x:v>
      </x:c>
      <x:c r="W119" s="4" t="n"/>
      <x:c r="X119" s="2" t="inlineStr">
        <x:is>
          <x:t xml:space="preserve">TSMC</x:t>
        </x:is>
      </x:c>
      <x:c r="Y119" s="5" t="n">
        <x:v>814</x:v>
      </x:c>
      <x:c r="Z119" s="5" t="n">
        <x:v>1095</x:v>
      </x:c>
      <x:c r="AA119" s="5" t="n">
        <x:v>1755</x:v>
      </x:c>
      <x:c r="AB119" s="5" t="n"/>
      <x:c r="AC119" s="5" t="n">
        <x:v>5120</x:v>
      </x:c>
      <x:c r="AD119" s="5" t="n">
        <x:v>456</x:v>
      </x:c>
      <x:c r="AE119" s="5" t="n">
        <x:v>5</x:v>
      </x:c>
      <x:c r="AF119" s="5" t="n">
        <x:v>80000</x:v>
      </x:c>
      <x:c r="AG119" s="2" t="inlineStr">
        <x:is>
          <x:t xml:space="preserve">https://www.techpowerup.com/gpu-specs/h800-sxm5.c3975</x:t>
        </x:is>
      </x:c>
      <x:c r="AH119" s="2" t="n"/>
      <x:c r="AI119" s="2" t="inlineStr">
        <x:is>
          <x:t xml:space="preserve">DeepSeekMoE-16B,DeepSeek-V2 (MoE-236B),RWKV-5 (Eagle) 7B,DeepSeek-V3,LLaDA,Step-Video-T2V,MAP-Neo,MiniMax-Text-01,MiniMax-VL-01,MiniMax-M1-40k,MiniMax-M1-80k,Seed1.5-VL,ERNIE-4.5-300B-A47B,Xingrui AI (星睿AI),NTele-R1-32B-V1,Step-Omni,Kimi K2,YuE,Skywork-OR1-32B,dots.llm1,Ring-flash-linear-2.0,Ring-mini-linear-2.0,DeepSeek-V3 (Mar 2025),Kimi K2.5</x:t>
        </x:is>
      </x:c>
      <x:c r="AJ119" s="2" t="inlineStr">
        <x:is>
          <x:t xml:space="preserve">2026-03-05 15:31:07+00:00</x:t>
        </x:is>
      </x:c>
      <x:c r="AK119" s="4" t="n">
        <x:v>1979000000000000</x:v>
      </x:c>
      <x:c r="AL119" s="4" t="n">
        <x:v>2827140000000</x:v>
      </x:c>
      <x:c r="AM119" s="4" t="n">
        <x:v>1.58e+16</x:v>
      </x:c>
      <x:c r="AN119" s="4" t="n"/>
      <x:c r="AO119" s="4" t="n">
        <x:v>1979000000000000</x:v>
      </x:c>
    </x:row>
    <x:row r="120" s="9" customFormat="1" ht="43.20000076293945" customHeight="1">
      <x:c r="A120" s="2" t="inlineStr">
        <x:is>
          <x:t xml:space="preserve">NVIDIA Tesla V100 DGXS 16 GB</x:t>
        </x:is>
      </x:c>
      <x:c r="B120" s="2" t="str">
        <x:f>IFERROR(VLOOKUP(TRIM($A120),_classification_map!$A$2:$C$227,2,FALSE),"")</x:f>
        <x:v>Volta</x:v>
      </x:c>
      <x:c r="C120" s="2" t="str">
        <x:f>IFERROR(VLOOKUP(TRIM($A120),_classification_map!$A$2:$C$227,3,FALSE),"")</x:f>
        <x:v>Tesla</x:v>
      </x:c>
      <x:c r="D120" s="2" t="inlineStr">
        <x:is>
          <x:t xml:space="preserve">NVIDIA</x:t>
        </x:is>
      </x:c>
      <x:c r="E120" s="2" t="inlineStr">
        <x:is>
          <x:t xml:space="preserve">GPU</x:t>
        </x:is>
      </x:c>
      <x:c r="F120" s="2" t="n"/>
      <x:c r="G120" s="2" t="inlineStr">
        <x:is>
          <x:t xml:space="preserve">2018-03-27</x:t>
        </x:is>
      </x:c>
      <x:c r="H120" s="3" t="n"/>
      <x:c r="I120" s="4" t="n">
        <x:v>125000000000000</x:v>
      </x:c>
      <x:c r="J120" s="4" t="n"/>
      <x:c r="K120" s="4" t="n"/>
      <x:c r="L120" s="4" t="n">
        <x:v>16000000000</x:v>
      </x:c>
      <x:c r="M120" s="4" t="n">
        <x:v>897000000000</x:v>
      </x:c>
      <x:c r="N120" s="4" t="n">
        <x:v>300000000000</x:v>
      </x:c>
      <x:c r="O120" s="4" t="n">
        <x:v>100000000000</x:v>
      </x:c>
      <x:c r="P120" s="5" t="n">
        <x:v>250</x:v>
      </x:c>
      <x:c r="Q120" s="4" t="n">
        <x:v>8100000000000</x:v>
      </x:c>
      <x:c r="R120" s="4" t="n">
        <x:v>16200000000000</x:v>
      </x:c>
      <x:c r="S120" s="4" t="n"/>
      <x:c r="T120" s="4" t="n">
        <x:v>32400000000000</x:v>
      </x:c>
      <x:c r="U120" s="4" t="n"/>
      <x:c r="V120" s="4" t="n"/>
      <x:c r="W120" s="4" t="n"/>
      <x:c r="X120" s="2" t="inlineStr">
        <x:is>
          <x:t xml:space="preserve">TSMC</x:t>
        </x:is>
      </x:c>
      <x:c r="Y120" s="5" t="n">
        <x:v>815</x:v>
      </x:c>
      <x:c r="Z120" s="5" t="n">
        <x:v>1354</x:v>
      </x:c>
      <x:c r="AA120" s="5" t="n">
        <x:v>1582</x:v>
      </x:c>
      <x:c r="AB120" s="5" t="n"/>
      <x:c r="AC120" s="5" t="n"/>
      <x:c r="AD120" s="5" t="n">
        <x:v>640</x:v>
      </x:c>
      <x:c r="AE120" s="5" t="n">
        <x:v>12</x:v>
      </x:c>
      <x:c r="AF120" s="5" t="n">
        <x:v>21100</x:v>
      </x:c>
      <x:c r="AG120" s="2" t="inlineStr">
        <x:is>
          <x:t xml:space="preserve">https://www.techpowerup.com/gpu-specs/tesla-v100-dgxs-16-gb.c3763</x:t>
        </x:is>
      </x:c>
      <x:c r="AH120" s="2" t="n"/>
      <x:c r="AI120" s="2" t="inlineStr">
        <x:is>
          <x:t xml:space="preserve">KataGo,CogView,DALL-E,Big Transformer for Back-Translation,Memformer (4 encoder + 16 decoder),DistilBERT,NVAE (CIFAR 10)</x:t>
        </x:is>
      </x:c>
      <x:c r="AJ120" s="2" t="inlineStr">
        <x:is>
          <x:t xml:space="preserve">2026-03-18 12:56:18+00:00</x:t>
        </x:is>
      </x:c>
      <x:c r="AK120" s="4" t="n">
        <x:v>125000000000000</x:v>
      </x:c>
      <x:c r="AL120" s="4" t="n">
        <x:v>500000000000</x:v>
      </x:c>
      <x:c r="AM120" s="4" t="n">
        <x:v>2000000000000000</x:v>
      </x:c>
      <x:c r="AN120" s="4" t="n"/>
      <x:c r="AO120" s="4" t="n">
        <x:v>125000000000000</x:v>
      </x:c>
    </x:row>
    <x:row r="121" s="9" customFormat="1" ht="115.19999694824219" customHeight="1">
      <x:c r="A121" s="2" t="inlineStr">
        <x:is>
          <x:t xml:space="preserve">Intel Habana Gaudi3</x:t>
        </x:is>
      </x:c>
      <x:c r="B121" s="2" t="str">
        <x:f>IFERROR(VLOOKUP(TRIM($A121),_classification_map!$A$2:$C$227,2,FALSE),"")</x:f>
        <x:v>Gaudi 3</x:v>
      </x:c>
      <x:c r="C121" s="2" t="str">
        <x:f>IFERROR(VLOOKUP(TRIM($A121),_classification_map!$A$2:$C$227,3,FALSE),"")</x:f>
        <x:v>Habana Gaudi</x:v>
      </x:c>
      <x:c r="D121" s="2" t="inlineStr">
        <x:is>
          <x:t xml:space="preserve">Intel</x:t>
        </x:is>
      </x:c>
      <x:c r="E121" s="2" t="n"/>
      <x:c r="F121" s="2" t="inlineStr">
        <x:is>
          <x:t xml:space="preserve">Intel says that the Gaudi3's BF16 FLOPS will be 4x that of the Gaudi2. We were not able to find the die area for this product.
More useful source is this whitepaper: https://www.intel.com/content/www/us/en/content-details/817486/intel-gaudi-3-ai-accelerator-white-paper.html
</x:t>
        </x:is>
      </x:c>
      <x:c r="G121" s="2" t="inlineStr">
        <x:is>
          <x:t xml:space="preserve">2024-09-24</x:t>
        </x:is>
      </x:c>
      <x:c r="H121" s="3" t="n"/>
      <x:c r="I121" s="4" t="n">
        <x:v>1678000000000000</x:v>
      </x:c>
      <x:c r="J121" s="4" t="n">
        <x:v>1678000000000000</x:v>
      </x:c>
      <x:c r="K121" s="4" t="n"/>
      <x:c r="L121" s="4" t="n">
        <x:v>128000000000</x:v>
      </x:c>
      <x:c r="M121" s="4" t="n">
        <x:v>3700000000000</x:v>
      </x:c>
      <x:c r="N121" s="4" t="n"/>
      <x:c r="O121" s="4" t="n"/>
      <x:c r="P121" s="5" t="n">
        <x:v>900</x:v>
      </x:c>
      <x:c r="Q121" s="4" t="n"/>
      <x:c r="R121" s="4" t="n">
        <x:v>14300000000000</x:v>
      </x:c>
      <x:c r="S121" s="4" t="n">
        <x:v>459000000000000</x:v>
      </x:c>
      <x:c r="T121" s="4" t="n">
        <x:v>28700000000000</x:v>
      </x:c>
      <x:c r="U121" s="4" t="n"/>
      <x:c r="V121" s="4" t="n"/>
      <x:c r="W121" s="4" t="n"/>
      <x:c r="X121" s="2" t="inlineStr">
        <x:is>
          <x:t xml:space="preserve">TSMC</x:t>
        </x:is>
      </x:c>
      <x:c r="Y121" s="5" t="n"/>
      <x:c r="Z121" s="5" t="n"/>
      <x:c r="AA121" s="5" t="n"/>
      <x:c r="AB121" s="5" t="n"/>
      <x:c r="AC121" s="5" t="n"/>
      <x:c r="AD121" s="5" t="n">
        <x:v>64</x:v>
      </x:c>
      <x:c r="AE121" s="5" t="n">
        <x:v>5</x:v>
      </x:c>
      <x:c r="AF121" s="5" t="n"/>
      <x:c r="AG121" s="2" t="inlineStr">
        <x:is>
          <x:t xml:space="preserve">https://perma.cc/83JH-F3M4</x:t>
        </x:is>
      </x:c>
      <x:c r="AH121" s="2" t="n"/>
      <x:c r="AI121" s="2" t="n"/>
      <x:c r="AJ121" s="2" t="inlineStr">
        <x:is>
          <x:t xml:space="preserve">2025-07-21 09:20:22+00:00</x:t>
        </x:is>
      </x:c>
      <x:c r="AK121" s="4" t="n">
        <x:v>1678000000000000</x:v>
      </x:c>
      <x:c r="AL121" s="4" t="n">
        <x:v>1864444444444.44</x:v>
      </x:c>
      <x:c r="AM121" s="4" t="n">
        <x:v>2.6848e+16</x:v>
      </x:c>
      <x:c r="AN121" s="4" t="n"/>
      <x:c r="AO121" s="4" t="n">
        <x:v>1678000000000000</x:v>
      </x:c>
    </x:row>
    <x:row r="122" s="9" customFormat="1" ht="115.19999694824219" customHeight="1">
      <x:c r="A122" s="2" t="inlineStr">
        <x:is>
          <x:t xml:space="preserve">NVIDIA Tesla V100 DGXS 32 GB</x:t>
        </x:is>
      </x:c>
      <x:c r="B122" s="2" t="str">
        <x:f>IFERROR(VLOOKUP(TRIM($A122),_classification_map!$A$2:$C$227,2,FALSE),"")</x:f>
        <x:v>Volta</x:v>
      </x:c>
      <x:c r="C122" s="2" t="str">
        <x:f>IFERROR(VLOOKUP(TRIM($A122),_classification_map!$A$2:$C$227,3,FALSE),"")</x:f>
        <x:v>Tesla</x:v>
      </x:c>
      <x:c r="D122" s="2" t="inlineStr">
        <x:is>
          <x:t xml:space="preserve">NVIDIA</x:t>
        </x:is>
      </x:c>
      <x:c r="E122" s="2" t="inlineStr">
        <x:is>
          <x:t xml:space="preserve">GPU</x:t>
        </x:is>
      </x:c>
      <x:c r="F122" s="2" t="n"/>
      <x:c r="G122" s="2" t="inlineStr">
        <x:is>
          <x:t xml:space="preserve">2018-03-27</x:t>
        </x:is>
      </x:c>
      <x:c r="H122" s="3" t="n"/>
      <x:c r="I122" s="4" t="n">
        <x:v>125000000000000</x:v>
      </x:c>
      <x:c r="J122" s="4" t="n"/>
      <x:c r="K122" s="4" t="n"/>
      <x:c r="L122" s="4" t="n">
        <x:v>32000000000</x:v>
      </x:c>
      <x:c r="M122" s="4" t="n">
        <x:v>897000000000</x:v>
      </x:c>
      <x:c r="N122" s="4" t="n">
        <x:v>300000000000</x:v>
      </x:c>
      <x:c r="O122" s="4" t="n">
        <x:v>100000000000</x:v>
      </x:c>
      <x:c r="P122" s="5" t="n">
        <x:v>250</x:v>
      </x:c>
      <x:c r="Q122" s="4" t="n">
        <x:v>7834000000000</x:v>
      </x:c>
      <x:c r="R122" s="4" t="n">
        <x:v>15670000000000</x:v>
      </x:c>
      <x:c r="S122" s="4" t="n"/>
      <x:c r="T122" s="4" t="n">
        <x:v>31330000000000</x:v>
      </x:c>
      <x:c r="U122" s="4" t="n"/>
      <x:c r="V122" s="4" t="n"/>
      <x:c r="W122" s="4" t="n"/>
      <x:c r="X122" s="2" t="inlineStr">
        <x:is>
          <x:t xml:space="preserve">TSMC</x:t>
        </x:is>
      </x:c>
      <x:c r="Y122" s="5" t="n">
        <x:v>815</x:v>
      </x:c>
      <x:c r="Z122" s="5" t="n">
        <x:v>1297</x:v>
      </x:c>
      <x:c r="AA122" s="5" t="n">
        <x:v>1530</x:v>
      </x:c>
      <x:c r="AB122" s="5" t="n"/>
      <x:c r="AC122" s="5" t="n">
        <x:v>4096</x:v>
      </x:c>
      <x:c r="AD122" s="5" t="n">
        <x:v>640</x:v>
      </x:c>
      <x:c r="AE122" s="5" t="n">
        <x:v>12</x:v>
      </x:c>
      <x:c r="AF122" s="5" t="n">
        <x:v>21100</x:v>
      </x:c>
      <x:c r="AG122" s="2" t="inlineStr">
        <x:is>
          <x:t xml:space="preserve">https://www.techpowerup.com/gpu-specs/tesla-v100-dgxs-32-gb.c3186</x:t>
        </x:is>
      </x:c>
      <x:c r="AH122" s="2" t="n"/>
      <x:c r="AI122" s="2" t="inlineStr">
        <x:is>
          <x:t xml:space="preserve">Megatron-LM (8.3B),Rubik's cube ADR robot,GPT-3 175B (davinci),iGPT-XL,iGPT-L,wave2vec 2.0 LARGE,DLRM-2022,M6-T,DistilProtBert,ERNIE 3.0 Titan,Turing-NLG,MSA Transformer,XLM-RoBERTa,MedBERT,GPT-3 2.7B,GPT-3 6.7B,GPT-3 13B,GPT-3 Large,GPT-3 Medium,GPT-3 Small,GPT-3 XL,Uni-Mol Molecular Model,RoBERTa Large,ERNIE-RNA,PeTriBERT,NVAE (Celeba HQ),NVAE (FFHQ),DLWP,WDC20 / DLWP</x:t>
        </x:is>
      </x:c>
      <x:c r="AJ122" s="2" t="inlineStr">
        <x:is>
          <x:t xml:space="preserve">2026-03-18 12:56:18+00:00</x:t>
        </x:is>
      </x:c>
      <x:c r="AK122" s="4" t="n">
        <x:v>125000000000000</x:v>
      </x:c>
      <x:c r="AL122" s="4" t="n">
        <x:v>500000000000</x:v>
      </x:c>
      <x:c r="AM122" s="4" t="n">
        <x:v>2000000000000000</x:v>
      </x:c>
      <x:c r="AN122" s="4" t="n"/>
      <x:c r="AO122" s="4" t="n">
        <x:v>125000000000000</x:v>
      </x:c>
    </x:row>
    <x:row r="123" s="9" customFormat="1" ht="57.599998474121094" customHeight="1">
      <x:c r="A123" s="2" t="inlineStr">
        <x:is>
          <x:t xml:space="preserve">NVIDIA H100 NVL</x:t>
        </x:is>
      </x:c>
      <x:c r="B123" s="2" t="str">
        <x:f>IFERROR(VLOOKUP(TRIM($A123),_classification_map!$A$2:$C$227,2,FALSE),"")</x:f>
        <x:v>Hopper</x:v>
      </x:c>
      <x:c r="C123" s="2" t="str">
        <x:f>IFERROR(VLOOKUP(TRIM($A123),_classification_map!$A$2:$C$227,3,FALSE),"")</x:f>
        <x:v>Datacenter H-series</x:v>
      </x:c>
      <x:c r="D123" s="2" t="inlineStr">
        <x:is>
          <x:t xml:space="preserve">NVIDIA</x:t>
        </x:is>
      </x:c>
      <x:c r="E123" s="2" t="inlineStr">
        <x:is>
          <x:t xml:space="preserve">GPU</x:t>
        </x:is>
      </x:c>
      <x:c r="F123" s="2" t="n"/>
      <x:c r="G123" s="2" t="inlineStr">
        <x:is>
          <x:t xml:space="preserve">2024-03-14</x:t>
        </x:is>
      </x:c>
      <x:c r="H123" s="3" t="n"/>
      <x:c r="I123" s="4" t="n">
        <x:v>835500000000000</x:v>
      </x:c>
      <x:c r="J123" s="4" t="n"/>
      <x:c r="K123" s="4" t="n"/>
      <x:c r="L123" s="4" t="n">
        <x:v>94000000000</x:v>
      </x:c>
      <x:c r="M123" s="4" t="n">
        <x:v>3938000000000</x:v>
      </x:c>
      <x:c r="N123" s="4" t="n"/>
      <x:c r="O123" s="4" t="n"/>
      <x:c r="P123" s="5" t="n">
        <x:v>400</x:v>
      </x:c>
      <x:c r="Q123" s="4" t="n"/>
      <x:c r="R123" s="4" t="n"/>
      <x:c r="S123" s="4" t="n"/>
      <x:c r="T123" s="4" t="n">
        <x:v>835500000000000</x:v>
      </x:c>
      <x:c r="U123" s="4" t="n"/>
      <x:c r="V123" s="4" t="n"/>
      <x:c r="W123" s="4" t="n"/>
      <x:c r="X123" s="2" t="n"/>
      <x:c r="Y123" s="5" t="n"/>
      <x:c r="Z123" s="5" t="n">
        <x:v>1080</x:v>
      </x:c>
      <x:c r="AA123" s="5" t="n">
        <x:v>1785</x:v>
      </x:c>
      <x:c r="AB123" s="5" t="n">
        <x:v>2619</x:v>
      </x:c>
      <x:c r="AC123" s="5" t="n">
        <x:v>6016</x:v>
      </x:c>
      <x:c r="AD123" s="5" t="n"/>
      <x:c r="AE123" s="5" t="n"/>
      <x:c r="AF123" s="5" t="n"/>
      <x:c r="AG123" s="2" t="inlineStr">
        <x:is>
          <x:t xml:space="preserve">https://www.nvidia.com/content/dam/en-zz/Solutions/Data-Center/h100/PB-11773-001_v01.pdf
https://www.pny.com/nvidia-h100-nvl</x:t>
        </x:is>
      </x:c>
      <x:c r="AH123" s="2" t="n"/>
      <x:c r="AI123" s="2" t="inlineStr">
        <x:is>
          <x:t xml:space="preserve">Boltz-2,s1-32B,s1.1</x:t>
        </x:is>
      </x:c>
      <x:c r="AJ123" s="2" t="inlineStr">
        <x:is>
          <x:t xml:space="preserve">2026-03-18 12:56:18+00:00</x:t>
        </x:is>
      </x:c>
      <x:c r="AK123" s="4" t="n">
        <x:v>835500000000000</x:v>
      </x:c>
      <x:c r="AL123" s="4" t="n">
        <x:v>2088750000000</x:v>
      </x:c>
      <x:c r="AM123" s="4" t="n">
        <x:v>1.3368e+16</x:v>
      </x:c>
      <x:c r="AN123" s="4" t="n"/>
      <x:c r="AO123" s="4" t="n">
        <x:v>835500000000000</x:v>
      </x:c>
    </x:row>
    <x:row r="124" s="9" customFormat="1" ht="43.20000076293945" customHeight="1">
      <x:c r="A124" s="2" t="inlineStr">
        <x:is>
          <x:t xml:space="preserve">Huawei Ascend 920</x:t>
        </x:is>
      </x:c>
      <x:c r="B124" s="2" t="str">
        <x:f>IFERROR(VLOOKUP(TRIM($A124),_classification_map!$A$2:$C$227,2,FALSE),"")</x:f>
        <x:v>Ascend 920</x:v>
      </x:c>
      <x:c r="C124" s="2" t="str">
        <x:f>IFERROR(VLOOKUP(TRIM($A124),_classification_map!$A$2:$C$227,3,FALSE),"")</x:f>
        <x:v>Ascend</x:v>
      </x:c>
      <x:c r="D124" s="2" t="inlineStr">
        <x:is>
          <x:t xml:space="preserve">Huawei</x:t>
        </x:is>
      </x:c>
      <x:c r="E124" s="2" t="inlineStr">
        <x:is>
          <x:t xml:space="preserve">NPU</x:t>
        </x:is>
      </x:c>
      <x:c r="F124" s="2" t="n"/>
      <x:c r="G124" s="2" t="inlineStr">
        <x:is>
          <x:t xml:space="preserve">2025-10-01</x:t>
        </x:is>
      </x:c>
      <x:c r="H124" s="3" t="n"/>
      <x:c r="I124" s="4" t="n">
        <x:v>900000000000000</x:v>
      </x:c>
      <x:c r="J124" s="4" t="n"/>
      <x:c r="K124" s="4" t="n"/>
      <x:c r="L124" s="4" t="n"/>
      <x:c r="M124" s="4" t="n">
        <x:v>4000000000000</x:v>
      </x:c>
      <x:c r="N124" s="4" t="n"/>
      <x:c r="O124" s="4" t="n"/>
      <x:c r="P124" s="5" t="n"/>
      <x:c r="Q124" s="4" t="n"/>
      <x:c r="R124" s="4" t="n"/>
      <x:c r="S124" s="4" t="n"/>
      <x:c r="T124" s="4" t="n"/>
      <x:c r="U124" s="4" t="n"/>
      <x:c r="V124" s="4" t="n"/>
      <x:c r="W124" s="4" t="n"/>
      <x:c r="X124" s="2" t="inlineStr">
        <x:is>
          <x:t xml:space="preserve">SMIC</x:t>
        </x:is>
      </x:c>
      <x:c r="Y124" s="5" t="n"/>
      <x:c r="Z124" s="5" t="n"/>
      <x:c r="AA124" s="5" t="n"/>
      <x:c r="AB124" s="5" t="n"/>
      <x:c r="AC124" s="5" t="n"/>
      <x:c r="AD124" s="5" t="n"/>
      <x:c r="AE124" s="5" t="n">
        <x:v>6</x:v>
      </x:c>
      <x:c r="AF124" s="5" t="n"/>
      <x:c r="AG124" s="2" t="inlineStr">
        <x:is>
          <x:t xml:space="preserve">https://www.tomshardware.com/pc-components/gpus/huawei-introduces-the-ascend-920-ai-chip-to-fill-the-void-left-by-nvidias-h20</x:t>
        </x:is>
      </x:c>
      <x:c r="AH124" s="2" t="n"/>
      <x:c r="AI124" s="2" t="n"/>
      <x:c r="AJ124" s="2" t="inlineStr">
        <x:is>
          <x:t xml:space="preserve">2025-07-30 16:53:19+00:00</x:t>
        </x:is>
      </x:c>
      <x:c r="AK124" s="4" t="n">
        <x:v>900000000000000</x:v>
      </x:c>
      <x:c r="AL124" s="4" t="n"/>
      <x:c r="AM124" s="4" t="n"/>
      <x:c r="AN124" s="4" t="n"/>
      <x:c r="AO124" s="4" t="n">
        <x:v>900000000000000</x:v>
      </x:c>
    </x:row>
    <x:row r="125">
      <x:c r="A125" s="2" t="inlineStr">
        <x:is>
          <x:t xml:space="preserve">NVIDIA Titan V</x:t>
        </x:is>
      </x:c>
      <x:c r="B125" s="2" t="str">
        <x:f>IFERROR(VLOOKUP(TRIM($A125),_classification_map!$A$2:$C$227,2,FALSE),"")</x:f>
        <x:v>Volta</x:v>
      </x:c>
      <x:c r="C125" s="2" t="str">
        <x:f>IFERROR(VLOOKUP(TRIM($A125),_classification_map!$A$2:$C$227,3,FALSE),"")</x:f>
        <x:v>TITAN</x:v>
      </x:c>
      <x:c r="D125" s="2" t="inlineStr">
        <x:is>
          <x:t xml:space="preserve">NVIDIA</x:t>
        </x:is>
      </x:c>
      <x:c r="E125" s="2" t="inlineStr">
        <x:is>
          <x:t xml:space="preserve">GPU</x:t>
        </x:is>
      </x:c>
      <x:c r="F125" s="2" t="n"/>
      <x:c r="G125" s="2" t="inlineStr">
        <x:is>
          <x:t xml:space="preserve">2017-12-01</x:t>
        </x:is>
      </x:c>
      <x:c r="H125" s="3" t="n">
        <x:v>2999</x:v>
      </x:c>
      <x:c r="I125" s="4" t="n"/>
      <x:c r="J125" s="4" t="n"/>
      <x:c r="K125" s="4" t="n"/>
      <x:c r="L125" s="4" t="n">
        <x:v>12000000000</x:v>
      </x:c>
      <x:c r="M125" s="4" t="n">
        <x:v>651000000000</x:v>
      </x:c>
      <x:c r="N125" s="4" t="n"/>
      <x:c r="O125" s="4" t="n"/>
      <x:c r="P125" s="5" t="n">
        <x:v>250</x:v>
      </x:c>
      <x:c r="Q125" s="4" t="n">
        <x:v>7450000000000</x:v>
      </x:c>
      <x:c r="R125" s="4" t="n">
        <x:v>14900000000000</x:v>
      </x:c>
      <x:c r="S125" s="4" t="n"/>
      <x:c r="T125" s="4" t="n">
        <x:v>29800000000000</x:v>
      </x:c>
      <x:c r="U125" s="4" t="n"/>
      <x:c r="V125" s="4" t="n"/>
      <x:c r="W125" s="4" t="n"/>
      <x:c r="X125" s="2" t="inlineStr">
        <x:is>
          <x:t xml:space="preserve">TSMC</x:t>
        </x:is>
      </x:c>
      <x:c r="Y125" s="5" t="n">
        <x:v>815</x:v>
      </x:c>
      <x:c r="Z125" s="5" t="n">
        <x:v>1200</x:v>
      </x:c>
      <x:c r="AA125" s="5" t="n">
        <x:v>1455</x:v>
      </x:c>
      <x:c r="AB125" s="5" t="n">
        <x:v>848</x:v>
      </x:c>
      <x:c r="AC125" s="5" t="n">
        <x:v>3072</x:v>
      </x:c>
      <x:c r="AD125" s="5" t="n">
        <x:v>640</x:v>
      </x:c>
      <x:c r="AE125" s="5" t="n">
        <x:v>12</x:v>
      </x:c>
      <x:c r="AF125" s="5" t="n">
        <x:v>21100</x:v>
      </x:c>
      <x:c r="AG125" s="2" t="inlineStr">
        <x:is>
          <x:t xml:space="preserve">https://www.techpowerup.com/gpu-specs/titan-v.c3051</x:t>
        </x:is>
      </x:c>
      <x:c r="AH125" s="2" t="n"/>
      <x:c r="AI125" s="2" t="inlineStr">
        <x:is>
          <x:t xml:space="preserve">SeqVec,GPT2+CoreLM+Fine-Tuning,RGC+ASQ (PTB),Specter</x:t>
        </x:is>
      </x:c>
      <x:c r="AJ125" s="2" t="inlineStr">
        <x:is>
          <x:t xml:space="preserve">2026-03-18 12:56:18+00:00</x:t>
        </x:is>
      </x:c>
      <x:c r="AK125" s="4" t="n">
        <x:v>29800000000000</x:v>
      </x:c>
      <x:c r="AL125" s="4" t="n">
        <x:v>119200000000</x:v>
      </x:c>
      <x:c r="AM125" s="4" t="n">
        <x:v>476800000000000</x:v>
      </x:c>
      <x:c r="AN125" s="4" t="n">
        <x:v>9936645548.516171</x:v>
      </x:c>
      <x:c r="AO125" s="4" t="n">
        <x:v>29800000000000</x:v>
      </x:c>
    </x:row>
    <x:row r="126" s="9" customFormat="1" ht="158.39999389648438" customHeight="1">
      <x:c r="A126" s="2" t="inlineStr">
        <x:is>
          <x:t xml:space="preserve">NVIDIA HGX H20</x:t>
        </x:is>
      </x:c>
      <x:c r="B126" s="2" t="str">
        <x:f>IFERROR(VLOOKUP(TRIM($A126),_classification_map!$A$2:$C$227,2,FALSE),"")</x:f>
        <x:v>Hopper</x:v>
      </x:c>
      <x:c r="C126" s="2" t="str">
        <x:f>IFERROR(VLOOKUP(TRIM($A126),_classification_map!$A$2:$C$227,3,FALSE),"")</x:f>
        <x:v>HGX</x:v>
      </x:c>
      <x:c r="D126" s="2" t="inlineStr">
        <x:is>
          <x:t xml:space="preserve">NVIDIA</x:t>
        </x:is>
      </x:c>
      <x:c r="E126" s="2" t="inlineStr">
        <x:is>
          <x:t xml:space="preserve">GPU</x:t>
        </x:is>
      </x:c>
      <x:c r="F126" s="2" t="n"/>
      <x:c r="G126" s="2" t="inlineStr">
        <x:is>
          <x:t xml:space="preserve">2023-11-09</x:t>
        </x:is>
      </x:c>
      <x:c r="H126" s="3" t="n">
        <x:v>12000</x:v>
      </x:c>
      <x:c r="I126" s="4" t="n">
        <x:v>148000000000000</x:v>
      </x:c>
      <x:c r="J126" s="4" t="n"/>
      <x:c r="K126" s="4" t="n"/>
      <x:c r="L126" s="4" t="n">
        <x:v>96000000000</x:v>
      </x:c>
      <x:c r="M126" s="4" t="n">
        <x:v>4000000000000</x:v>
      </x:c>
      <x:c r="N126" s="4" t="n"/>
      <x:c r="O126" s="4" t="n"/>
      <x:c r="P126" s="5" t="n">
        <x:v>400</x:v>
      </x:c>
      <x:c r="Q126" s="4" t="n">
        <x:v>1000000000000</x:v>
      </x:c>
      <x:c r="R126" s="4" t="n">
        <x:v>44000000000000</x:v>
      </x:c>
      <x:c r="S126" s="4" t="n">
        <x:v>74000000000000</x:v>
      </x:c>
      <x:c r="T126" s="4" t="n"/>
      <x:c r="U126" s="4" t="n"/>
      <x:c r="V126" s="4" t="n">
        <x:v>296000000000000</x:v>
      </x:c>
      <x:c r="W126" s="4" t="n"/>
      <x:c r="X126" s="2" t="n"/>
      <x:c r="Y126" s="5" t="n"/>
      <x:c r="Z126" s="5" t="n"/>
      <x:c r="AA126" s="5" t="n"/>
      <x:c r="AB126" s="5" t="n"/>
      <x:c r="AC126" s="5" t="n"/>
      <x:c r="AD126" s="5" t="n"/>
      <x:c r="AE126" s="5" t="n"/>
      <x:c r="AF126" s="5" t="n"/>
      <x:c r="AG126" s="2" t="inlineStr">
        <x:is>
          <x:t xml:space="preserve">https://viperatech.com/shop/nvidia-hgx-h20/</x:t>
        </x:is>
      </x:c>
      <x:c r="AH126" s="2" t="inlineStr">
        <x:is>
          <x:t xml:space="preserve">https://www.tomshardware.com/tech-industry/artificial-intelligence/distributor-claims-that-nvidia-has-allegedly-stopped-taking-orders-on-hgx-h20-gpu-processors#:~:text=The%20product%20has%2096%20GB,tag%20of%20around%20%2410%2C000%20%2D%20%2413%2C000.
https://www.techpowerup.com/318595/nvidia-readying-h20-ai-gpu-for-chinese-market</x:t>
        </x:is>
      </x:c>
      <x:c r="AI126" s="2" t="n"/>
      <x:c r="AJ126" s="2" t="inlineStr">
        <x:is>
          <x:t xml:space="preserve">2025-07-21 09:20:28+00:00</x:t>
        </x:is>
      </x:c>
      <x:c r="AK126" s="4" t="n">
        <x:v>296000000000000</x:v>
      </x:c>
      <x:c r="AL126" s="4" t="n">
        <x:v>740000000000</x:v>
      </x:c>
      <x:c r="AM126" s="4" t="n">
        <x:v>2368000000000000</x:v>
      </x:c>
      <x:c r="AN126" s="4" t="n">
        <x:v>24666666666.6667</x:v>
      </x:c>
      <x:c r="AO126" s="4" t="n">
        <x:v>296000000000000</x:v>
      </x:c>
    </x:row>
    <x:row r="127" s="9" customFormat="1" ht="86.4000015258789" customHeight="1">
      <x:c r="A127" s="2" t="inlineStr">
        <x:is>
          <x:t xml:space="preserve">Huawei Ascend 950DT</x:t>
        </x:is>
      </x:c>
      <x:c r="B127" s="2" t="str">
        <x:f>IFERROR(VLOOKUP(TRIM($A127),_classification_map!$A$2:$C$227,2,FALSE),"")</x:f>
        <x:v>Ascend 950DT</x:v>
      </x:c>
      <x:c r="C127" s="2" t="str">
        <x:f>IFERROR(VLOOKUP(TRIM($A127),_classification_map!$A$2:$C$227,3,FALSE),"")</x:f>
        <x:v>Ascend</x:v>
      </x:c>
      <x:c r="D127" s="2" t="inlineStr">
        <x:is>
          <x:t xml:space="preserve">Huawei</x:t>
        </x:is>
      </x:c>
      <x:c r="E127" s="2" t="inlineStr">
        <x:is>
          <x:t xml:space="preserve">NPU</x:t>
        </x:is>
      </x:c>
      <x:c r="F127" s="2" t="n"/>
      <x:c r="G127" s="2" t="n"/>
      <x:c r="H127" s="3" t="n"/>
      <x:c r="I127" s="4" t="n"/>
      <x:c r="J127" s="4" t="n">
        <x:v>1000000000000000</x:v>
      </x:c>
      <x:c r="K127" s="4" t="n">
        <x:v>2000000000000000</x:v>
      </x:c>
      <x:c r="L127" s="4" t="n"/>
      <x:c r="M127" s="4" t="n">
        <x:v>4000000000000</x:v>
      </x:c>
      <x:c r="N127" s="4" t="n"/>
      <x:c r="O127" s="4" t="n">
        <x:v>2000000000000</x:v>
      </x:c>
      <x:c r="P127" s="5" t="n"/>
      <x:c r="Q127" s="4" t="n"/>
      <x:c r="R127" s="4" t="n"/>
      <x:c r="S127" s="4" t="n"/>
      <x:c r="T127" s="4" t="n"/>
      <x:c r="U127" s="4" t="n"/>
      <x:c r="V127" s="4" t="n"/>
      <x:c r="W127" s="4" t="n"/>
      <x:c r="X127" s="2" t="n"/>
      <x:c r="Y127" s="5" t="n"/>
      <x:c r="Z127" s="5" t="n"/>
      <x:c r="AA127" s="5" t="n"/>
      <x:c r="AB127" s="5" t="n"/>
      <x:c r="AC127" s="5" t="n"/>
      <x:c r="AD127" s="5" t="n"/>
      <x:c r="AE127" s="5" t="n"/>
      <x:c r="AF127" s="5" t="n"/>
      <x:c r="AG127" s="2" t="inlineStr">
        <x:is>
          <x:t xml:space="preserve">https://www.techradar.com/pro/huawei-ascend-950-vs-nvidia-h200-vs-amd-mi300-instinct-how-do-they-compare
https://www.tomshardware.com/tech-industry/semiconductors/huawei-unveils-ascend-roadmap-backed-by-in-house-hbm</x:t>
        </x:is>
      </x:c>
      <x:c r="AH127" s="2" t="n"/>
      <x:c r="AI127" s="2" t="n"/>
      <x:c r="AJ127" s="2" t="inlineStr">
        <x:is>
          <x:t xml:space="preserve">2025-10-14 14:13:33+00:00</x:t>
        </x:is>
      </x:c>
      <x:c r="AK127" s="4" t="n">
        <x:v>0</x:v>
      </x:c>
      <x:c r="AL127" s="4" t="n"/>
      <x:c r="AM127" s="4" t="n"/>
      <x:c r="AN127" s="4" t="n"/>
      <x:c r="AO127" s="4" t="n">
        <x:v>1000000000000000</x:v>
      </x:c>
    </x:row>
    <x:row r="128" s="9" customFormat="1" ht="28.799999237060547" customHeight="1">
      <x:c r="A128" s="2" t="inlineStr">
        <x:is>
          <x:t xml:space="preserve">NVIDIA H200 SXM</x:t>
        </x:is>
      </x:c>
      <x:c r="B128" s="2" t="str">
        <x:f>IFERROR(VLOOKUP(TRIM($A128),_classification_map!$A$2:$C$227,2,FALSE),"")</x:f>
        <x:v>Hopper</x:v>
      </x:c>
      <x:c r="C128" s="2" t="str">
        <x:f>IFERROR(VLOOKUP(TRIM($A128),_classification_map!$A$2:$C$227,3,FALSE),"")</x:f>
        <x:v>Datacenter H-series</x:v>
      </x:c>
      <x:c r="D128" s="2" t="inlineStr">
        <x:is>
          <x:t xml:space="preserve">NVIDIA</x:t>
        </x:is>
      </x:c>
      <x:c r="E128" s="2" t="inlineStr">
        <x:is>
          <x:t xml:space="preserve">GPU</x:t>
        </x:is>
      </x:c>
      <x:c r="F128" s="2" t="n"/>
      <x:c r="G128" s="2" t="inlineStr">
        <x:is>
          <x:t xml:space="preserve">2024-11-18</x:t>
        </x:is>
      </x:c>
      <x:c r="H128" s="3" t="n"/>
      <x:c r="I128" s="4" t="n">
        <x:v>989500000000000</x:v>
      </x:c>
      <x:c r="J128" s="4" t="n">
        <x:v>1979000000000000</x:v>
      </x:c>
      <x:c r="K128" s="4" t="n"/>
      <x:c r="L128" s="4" t="n">
        <x:v>141000000000</x:v>
      </x:c>
      <x:c r="M128" s="4" t="n">
        <x:v>4800000000000</x:v>
      </x:c>
      <x:c r="N128" s="4" t="n"/>
      <x:c r="O128" s="4" t="n"/>
      <x:c r="P128" s="5" t="n">
        <x:v>700</x:v>
      </x:c>
      <x:c r="Q128" s="4" t="n">
        <x:v>33450000000000</x:v>
      </x:c>
      <x:c r="R128" s="4" t="n">
        <x:v>66910000000000</x:v>
      </x:c>
      <x:c r="S128" s="4" t="n">
        <x:v>494500000000000</x:v>
      </x:c>
      <x:c r="T128" s="4" t="n"/>
      <x:c r="U128" s="4" t="n"/>
      <x:c r="V128" s="4" t="n">
        <x:v>1979000000000000</x:v>
      </x:c>
      <x:c r="W128" s="4" t="n"/>
      <x:c r="X128" s="2" t="inlineStr">
        <x:is>
          <x:t xml:space="preserve">TSMC</x:t>
        </x:is>
      </x:c>
      <x:c r="Y128" s="5" t="n"/>
      <x:c r="Z128" s="5" t="n"/>
      <x:c r="AA128" s="5" t="n"/>
      <x:c r="AB128" s="5" t="n"/>
      <x:c r="AC128" s="5" t="n"/>
      <x:c r="AD128" s="5" t="n"/>
      <x:c r="AE128" s="5" t="n">
        <x:v>5</x:v>
      </x:c>
      <x:c r="AF128" s="5" t="n"/>
      <x:c r="AG128" s="2" t="inlineStr">
        <x:is>
          <x:t xml:space="preserve">https://nvdam.widen.net/s/nb5zzzsjdf/hpc-datasheet-sc23-h200-datasheet-3002446</x:t>
        </x:is>
      </x:c>
      <x:c r="AH128" s="2" t="n"/>
      <x:c r="AI128" s="2" t="inlineStr">
        <x:is>
          <x:t xml:space="preserve">SEA-LION V3 Llama3.1 8B,SEA-LION V3 Llama3.1 70B,EXAONE 4.0 (32B),EXAONE 4.0 (1.2B),Gemma-SEA-LION-v4-27B-IT</x:t>
        </x:is>
      </x:c>
      <x:c r="AJ128" s="2" t="inlineStr">
        <x:is>
          <x:t xml:space="preserve">2026-03-18 12:56:18+00:00</x:t>
        </x:is>
      </x:c>
      <x:c r="AK128" s="4" t="n">
        <x:v>1979000000000000</x:v>
      </x:c>
      <x:c r="AL128" s="4" t="n">
        <x:v>2827142857142.86</x:v>
      </x:c>
      <x:c r="AM128" s="4" t="n">
        <x:v>1.5832e+16</x:v>
      </x:c>
      <x:c r="AN128" s="4" t="n"/>
      <x:c r="AO128" s="4" t="n">
        <x:v>1979000000000000</x:v>
      </x:c>
    </x:row>
    <x:row r="129" s="9" customFormat="1" ht="28.799999237060547" customHeight="1">
      <x:c r="A129" s="2" t="inlineStr">
        <x:is>
          <x:t xml:space="preserve">NVIDIA TITAN Xp</x:t>
        </x:is>
      </x:c>
      <x:c r="B129" s="2" t="str">
        <x:f>IFERROR(VLOOKUP(TRIM($A129),_classification_map!$A$2:$C$227,2,FALSE),"")</x:f>
        <x:v>Pascal</x:v>
      </x:c>
      <x:c r="C129" s="2" t="str">
        <x:f>IFERROR(VLOOKUP(TRIM($A129),_classification_map!$A$2:$C$227,3,FALSE),"")</x:f>
        <x:v>TITAN</x:v>
      </x:c>
      <x:c r="D129" s="2" t="inlineStr">
        <x:is>
          <x:t xml:space="preserve">NVIDIA</x:t>
        </x:is>
      </x:c>
      <x:c r="E129" s="2" t="inlineStr">
        <x:is>
          <x:t xml:space="preserve">GPU</x:t>
        </x:is>
      </x:c>
      <x:c r="F129" s="2" t="n"/>
      <x:c r="G129" s="2" t="inlineStr">
        <x:is>
          <x:t xml:space="preserve">2017-04-06</x:t>
        </x:is>
      </x:c>
      <x:c r="H129" s="3" t="n">
        <x:v>1199</x:v>
      </x:c>
      <x:c r="I129" s="4" t="n"/>
      <x:c r="J129" s="4" t="n"/>
      <x:c r="K129" s="4" t="n"/>
      <x:c r="L129" s="4" t="n">
        <x:v>12000000000</x:v>
      </x:c>
      <x:c r="M129" s="4" t="n">
        <x:v>548000000000</x:v>
      </x:c>
      <x:c r="N129" s="4" t="n"/>
      <x:c r="O129" s="4" t="n"/>
      <x:c r="P129" s="5" t="n">
        <x:v>250</x:v>
      </x:c>
      <x:c r="Q129" s="4" t="n">
        <x:v>379700000000</x:v>
      </x:c>
      <x:c r="R129" s="4" t="n">
        <x:v>12150000000000</x:v>
      </x:c>
      <x:c r="S129" s="4" t="n"/>
      <x:c r="T129" s="4" t="n">
        <x:v>189800000000</x:v>
      </x:c>
      <x:c r="U129" s="4" t="n"/>
      <x:c r="V129" s="4" t="n"/>
      <x:c r="W129" s="4" t="n"/>
      <x:c r="X129" s="2" t="inlineStr">
        <x:is>
          <x:t xml:space="preserve">TSMC</x:t>
        </x:is>
      </x:c>
      <x:c r="Y129" s="5" t="n">
        <x:v>471</x:v>
      </x:c>
      <x:c r="Z129" s="5" t="n">
        <x:v>1405</x:v>
      </x:c>
      <x:c r="AA129" s="5" t="n">
        <x:v>1582</x:v>
      </x:c>
      <x:c r="AB129" s="5" t="n">
        <x:v>1426</x:v>
      </x:c>
      <x:c r="AC129" s="5" t="n">
        <x:v>384</x:v>
      </x:c>
      <x:c r="AD129" s="5" t="n"/>
      <x:c r="AE129" s="5" t="n">
        <x:v>16</x:v>
      </x:c>
      <x:c r="AF129" s="5" t="n">
        <x:v>11800</x:v>
      </x:c>
      <x:c r="AG129" s="2" t="inlineStr">
        <x:is>
          <x:t xml:space="preserve">https://www.techpowerup.com/gpu-specs/titan-xp.c2948</x:t>
        </x:is>
      </x:c>
      <x:c r="AH129" s="2" t="n"/>
      <x:c r="AI129" s="2" t="inlineStr">
        <x:is>
          <x:t xml:space="preserve">DNA Fine-Tuned Language Model (DFLM),DensePhrases,Refined Part Pooling,GraSR</x:t>
        </x:is>
      </x:c>
      <x:c r="AJ129" s="2" t="inlineStr">
        <x:is>
          <x:t xml:space="preserve">2026-03-18 12:56:18+00:00</x:t>
        </x:is>
      </x:c>
      <x:c r="AK129" s="4" t="n">
        <x:v>12150000000000</x:v>
      </x:c>
      <x:c r="AL129" s="4" t="n">
        <x:v>48600000000</x:v>
      </x:c>
      <x:c r="AM129" s="4" t="n">
        <x:v>388800000000000</x:v>
      </x:c>
      <x:c r="AN129" s="4" t="n">
        <x:v>10133444537.1143</x:v>
      </x:c>
      <x:c r="AO129" s="4" t="n">
        <x:v>12150000000000</x:v>
      </x:c>
    </x:row>
    <x:row r="130" s="9" customFormat="1" ht="86.4000015258789" customHeight="1">
      <x:c r="A130" s="2" t="inlineStr">
        <x:is>
          <x:t xml:space="preserve">NVIDIA GeForce GTX 1080 Ti</x:t>
        </x:is>
      </x:c>
      <x:c r="B130" s="2" t="str">
        <x:f>IFERROR(VLOOKUP(TRIM($A130),_classification_map!$A$2:$C$227,2,FALSE),"")</x:f>
        <x:v>Pascal</x:v>
      </x:c>
      <x:c r="C130" s="2" t="str">
        <x:f>IFERROR(VLOOKUP(TRIM($A130),_classification_map!$A$2:$C$227,3,FALSE),"")</x:f>
        <x:v>GeForce GTX</x:v>
      </x:c>
      <x:c r="D130" s="2" t="inlineStr">
        <x:is>
          <x:t xml:space="preserve">NVIDIA</x:t>
        </x:is>
      </x:c>
      <x:c r="E130" s="2" t="inlineStr">
        <x:is>
          <x:t xml:space="preserve">GPU</x:t>
        </x:is>
      </x:c>
      <x:c r="F130" s="2" t="n"/>
      <x:c r="G130" s="2" t="inlineStr">
        <x:is>
          <x:t xml:space="preserve">2017-03-10</x:t>
        </x:is>
      </x:c>
      <x:c r="H130" s="3" t="n">
        <x:v>699</x:v>
      </x:c>
      <x:c r="I130" s="4" t="n"/>
      <x:c r="J130" s="4" t="n"/>
      <x:c r="K130" s="4" t="n"/>
      <x:c r="L130" s="4" t="n">
        <x:v>11000000000</x:v>
      </x:c>
      <x:c r="M130" s="4" t="n">
        <x:v>484000000000</x:v>
      </x:c>
      <x:c r="N130" s="4" t="n"/>
      <x:c r="O130" s="4" t="n"/>
      <x:c r="P130" s="5" t="n">
        <x:v>250</x:v>
      </x:c>
      <x:c r="Q130" s="4" t="n">
        <x:v>354400000000</x:v>
      </x:c>
      <x:c r="R130" s="4" t="n">
        <x:v>11340000000000</x:v>
      </x:c>
      <x:c r="S130" s="4" t="n"/>
      <x:c r="T130" s="4" t="n">
        <x:v>177200000000</x:v>
      </x:c>
      <x:c r="U130" s="4" t="n"/>
      <x:c r="V130" s="4" t="n"/>
      <x:c r="W130" s="4" t="n"/>
      <x:c r="X130" s="2" t="inlineStr">
        <x:is>
          <x:t xml:space="preserve">TSMC</x:t>
        </x:is>
      </x:c>
      <x:c r="Y130" s="5" t="n">
        <x:v>471</x:v>
      </x:c>
      <x:c r="Z130" s="5" t="n">
        <x:v>1481</x:v>
      </x:c>
      <x:c r="AA130" s="5" t="n">
        <x:v>1582</x:v>
      </x:c>
      <x:c r="AB130" s="5" t="n">
        <x:v>1376</x:v>
      </x:c>
      <x:c r="AC130" s="5" t="n">
        <x:v>352</x:v>
      </x:c>
      <x:c r="AD130" s="5" t="n"/>
      <x:c r="AE130" s="5" t="n">
        <x:v>16</x:v>
      </x:c>
      <x:c r="AF130" s="5" t="n">
        <x:v>11800</x:v>
      </x:c>
      <x:c r="AG130" s="2" t="inlineStr">
        <x:is>
          <x:t xml:space="preserve">https://www.techpowerup.com/gpu-specs/geforce-gtx-1080-ti.c2877</x:t>
        </x:is>
      </x:c>
      <x:c r="AH130" s="2" t="inlineStr">
        <x:is>
          <x:t xml:space="preserve">https://www.techpowerup.com/gpu-specs/tesla-p100-pcie-16-gb.c2888</x:t>
        </x:is>
      </x:c>
      <x:c r="AI130" s="2" t="inlineStr">
        <x:is>
          <x:t xml:space="preserve">Cross-lingual alignment,AlphaX-1,PeptideBERT,NAS+ESS (23M),Adaptive LSTM + DeFINE,Transformer-C,CT-MoS (WT2),NAS+ESS (156M),DARTS,ENAS,MEGNet (molecule model),MEGNet (crystal band gap model),MEGNet (crystal formation energy model),MEGNet (crystal elasticity model),GemNet-T (OC20)</x:t>
        </x:is>
      </x:c>
      <x:c r="AJ130" s="2" t="inlineStr">
        <x:is>
          <x:t xml:space="preserve">2026-03-18 12:56:18+00:00</x:t>
        </x:is>
      </x:c>
      <x:c r="AK130" s="4" t="n">
        <x:v>11340000000000</x:v>
      </x:c>
      <x:c r="AL130" s="4" t="n">
        <x:v>45360000000</x:v>
      </x:c>
      <x:c r="AM130" s="4" t="n">
        <x:v>362880000000000</x:v>
      </x:c>
      <x:c r="AN130" s="4" t="n">
        <x:v>16223175965.6652</x:v>
      </x:c>
      <x:c r="AO130" s="4" t="n">
        <x:v>11340000000000</x:v>
      </x:c>
    </x:row>
    <x:row r="131" s="9" customFormat="1" ht="28.799999237060547" customHeight="1">
      <x:c r="A131" s="2" t="inlineStr">
        <x:is>
          <x:t xml:space="preserve">NVIDIA Quadro P600</x:t>
        </x:is>
      </x:c>
      <x:c r="B131" s="2" t="str">
        <x:f>IFERROR(VLOOKUP(TRIM($A131),_classification_map!$A$2:$C$227,2,FALSE),"")</x:f>
        <x:v>Pascal</x:v>
      </x:c>
      <x:c r="C131" s="2" t="str">
        <x:f>IFERROR(VLOOKUP(TRIM($A131),_classification_map!$A$2:$C$227,3,FALSE),"")</x:f>
        <x:v>Quadro</x:v>
      </x:c>
      <x:c r="D131" s="2" t="inlineStr">
        <x:is>
          <x:t xml:space="preserve">NVIDIA</x:t>
        </x:is>
      </x:c>
      <x:c r="E131" s="2" t="inlineStr">
        <x:is>
          <x:t xml:space="preserve">GPU</x:t>
        </x:is>
      </x:c>
      <x:c r="F131" s="2" t="n"/>
      <x:c r="G131" s="2" t="inlineStr">
        <x:is>
          <x:t xml:space="preserve">2017-02-07</x:t>
        </x:is>
      </x:c>
      <x:c r="H131" s="3" t="n">
        <x:v>178</x:v>
      </x:c>
      <x:c r="I131" s="4" t="n"/>
      <x:c r="J131" s="4" t="n"/>
      <x:c r="K131" s="4" t="n"/>
      <x:c r="L131" s="4" t="n">
        <x:v>2000000000</x:v>
      </x:c>
      <x:c r="M131" s="4" t="n">
        <x:v>64130000000</x:v>
      </x:c>
      <x:c r="N131" s="4" t="n"/>
      <x:c r="O131" s="4" t="n"/>
      <x:c r="P131" s="5" t="n">
        <x:v>40</x:v>
      </x:c>
      <x:c r="Q131" s="4" t="n">
        <x:v>37370000000</x:v>
      </x:c>
      <x:c r="R131" s="4" t="n">
        <x:v>1196000000000</x:v>
      </x:c>
      <x:c r="S131" s="4" t="n"/>
      <x:c r="T131" s="4" t="n">
        <x:v>18680000000</x:v>
      </x:c>
      <x:c r="U131" s="4" t="n"/>
      <x:c r="V131" s="4" t="n"/>
      <x:c r="W131" s="4" t="n"/>
      <x:c r="X131" s="2" t="inlineStr">
        <x:is>
          <x:t xml:space="preserve">Samsung</x:t>
        </x:is>
      </x:c>
      <x:c r="Y131" s="5" t="n">
        <x:v>132</x:v>
      </x:c>
      <x:c r="Z131" s="5" t="n">
        <x:v>1329</x:v>
      </x:c>
      <x:c r="AA131" s="5" t="n">
        <x:v>1557</x:v>
      </x:c>
      <x:c r="AB131" s="5" t="n"/>
      <x:c r="AC131" s="5" t="n">
        <x:v>128</x:v>
      </x:c>
      <x:c r="AD131" s="5" t="n"/>
      <x:c r="AE131" s="5" t="n">
        <x:v>14</x:v>
      </x:c>
      <x:c r="AF131" s="5" t="n">
        <x:v>3300</x:v>
      </x:c>
      <x:c r="AG131" s="2" t="inlineStr">
        <x:is>
          <x:t xml:space="preserve">https://www.techpowerup.com/gpu-specs/quadro-p600.c2933</x:t>
        </x:is>
      </x:c>
      <x:c r="AH131" s="2" t="inlineStr">
        <x:is>
          <x:t xml:space="preserve">https://technical.city/en/video/GeForce-GTX-970-vs-Quadro-P600</x:t>
        </x:is>
      </x:c>
      <x:c r="AI131" s="2" t="inlineStr">
        <x:is>
          <x:t xml:space="preserve">GPT-1</x:t>
        </x:is>
      </x:c>
      <x:c r="AJ131" s="2" t="inlineStr">
        <x:is>
          <x:t xml:space="preserve">2026-03-18 12:56:18+00:00</x:t>
        </x:is>
      </x:c>
      <x:c r="AK131" s="4" t="n">
        <x:v>1196000000000</x:v>
      </x:c>
      <x:c r="AL131" s="4" t="n">
        <x:v>29900000000</x:v>
      </x:c>
      <x:c r="AM131" s="4" t="n">
        <x:v>38272000000000</x:v>
      </x:c>
      <x:c r="AN131" s="4" t="n">
        <x:v>6719101123.59551</x:v>
      </x:c>
      <x:c r="AO131" s="4" t="n">
        <x:v>1196000000000</x:v>
      </x:c>
    </x:row>
    <x:row r="132" s="9" customFormat="1" ht="28.799999237060547" customHeight="1">
      <x:c r="A132" s="2" t="inlineStr">
        <x:is>
          <x:t xml:space="preserve">NVIDIA Quadro P4000</x:t>
        </x:is>
      </x:c>
      <x:c r="B132" s="2" t="str">
        <x:f>IFERROR(VLOOKUP(TRIM($A132),_classification_map!$A$2:$C$227,2,FALSE),"")</x:f>
        <x:v>Pascal</x:v>
      </x:c>
      <x:c r="C132" s="2" t="str">
        <x:f>IFERROR(VLOOKUP(TRIM($A132),_classification_map!$A$2:$C$227,3,FALSE),"")</x:f>
        <x:v>Quadro</x:v>
      </x:c>
      <x:c r="D132" s="2" t="inlineStr">
        <x:is>
          <x:t xml:space="preserve">NVIDIA</x:t>
        </x:is>
      </x:c>
      <x:c r="E132" s="2" t="inlineStr">
        <x:is>
          <x:t xml:space="preserve">GPU</x:t>
        </x:is>
      </x:c>
      <x:c r="F132" s="2" t="n"/>
      <x:c r="G132" s="2" t="inlineStr">
        <x:is>
          <x:t xml:space="preserve">2017-02-06</x:t>
        </x:is>
      </x:c>
      <x:c r="H132" s="3" t="n">
        <x:v>815</x:v>
      </x:c>
      <x:c r="I132" s="4" t="n"/>
      <x:c r="J132" s="4" t="n"/>
      <x:c r="K132" s="4" t="n"/>
      <x:c r="L132" s="4" t="n">
        <x:v>8000000000</x:v>
      </x:c>
      <x:c r="M132" s="4" t="n">
        <x:v>243400000000</x:v>
      </x:c>
      <x:c r="N132" s="4" t="n"/>
      <x:c r="O132" s="4" t="n"/>
      <x:c r="P132" s="5" t="n">
        <x:v>105</x:v>
      </x:c>
      <x:c r="Q132" s="4" t="n">
        <x:v>165800000000</x:v>
      </x:c>
      <x:c r="R132" s="4" t="n">
        <x:v>5304000000000</x:v>
      </x:c>
      <x:c r="S132" s="4" t="n"/>
      <x:c r="T132" s="4" t="n">
        <x:v>82880000000</x:v>
      </x:c>
      <x:c r="U132" s="4" t="n"/>
      <x:c r="V132" s="4" t="n"/>
      <x:c r="W132" s="4" t="n"/>
      <x:c r="X132" s="2" t="inlineStr">
        <x:is>
          <x:t xml:space="preserve">TSMC</x:t>
        </x:is>
      </x:c>
      <x:c r="Y132" s="5" t="n">
        <x:v>314</x:v>
      </x:c>
      <x:c r="Z132" s="5" t="n">
        <x:v>1202</x:v>
      </x:c>
      <x:c r="AA132" s="5" t="n">
        <x:v>1480</x:v>
      </x:c>
      <x:c r="AB132" s="5" t="n">
        <x:v>1901</x:v>
      </x:c>
      <x:c r="AC132" s="5" t="n">
        <x:v>256</x:v>
      </x:c>
      <x:c r="AD132" s="5" t="n"/>
      <x:c r="AE132" s="5" t="n">
        <x:v>16</x:v>
      </x:c>
      <x:c r="AF132" s="5" t="n">
        <x:v>7200</x:v>
      </x:c>
      <x:c r="AG132" s="2" t="inlineStr">
        <x:is>
          <x:t xml:space="preserve">https://www.techpowerup.com/gpu-specs/quadro-p4000.c2930</x:t>
        </x:is>
      </x:c>
      <x:c r="AH132" s="2" t="inlineStr">
        <x:is>
          <x:t xml:space="preserve">https://www.techpowerup.com/gpu-specs/quadro-p4000.c2930</x:t>
        </x:is>
      </x:c>
      <x:c r="AI132" s="2" t="n"/>
      <x:c r="AJ132" s="2" t="inlineStr">
        <x:is>
          <x:t xml:space="preserve">2025-07-21 09:55:58+00:00</x:t>
        </x:is>
      </x:c>
      <x:c r="AK132" s="4" t="n">
        <x:v>5304000000000</x:v>
      </x:c>
      <x:c r="AL132" s="4" t="n">
        <x:v>50514285714.2857</x:v>
      </x:c>
      <x:c r="AM132" s="4" t="n">
        <x:v>169728000000000</x:v>
      </x:c>
      <x:c r="AN132" s="4" t="n">
        <x:v>6507975460.1227</x:v>
      </x:c>
      <x:c r="AO132" s="4" t="n">
        <x:v>5304000000000</x:v>
      </x:c>
    </x:row>
    <x:row r="133" s="9" customFormat="1" ht="57.599998474121094" customHeight="1">
      <x:c r="A133" s="2" t="inlineStr">
        <x:is>
          <x:t xml:space="preserve">MT-2000</x:t>
        </x:is>
      </x:c>
      <x:c r="B133" s="2" t="str">
        <x:f>IFERROR(VLOOKUP(TRIM($A133),_classification_map!$A$2:$C$227,2,FALSE),"")</x:f>
        <x:v>MT-2000</x:v>
      </x:c>
      <x:c r="C133" s="2" t="str">
        <x:f>IFERROR(VLOOKUP(TRIM($A133),_classification_map!$A$2:$C$227,3,FALSE),"")</x:f>
        <x:v>MT</x:v>
      </x:c>
      <x:c r="D133" s="2" t="inlineStr">
        <x:is>
          <x:t xml:space="preserve">National University of Defense Technology</x:t>
        </x:is>
      </x:c>
      <x:c r="E133" s="2" t="n"/>
      <x:c r="F133" s="2" t="n"/>
      <x:c r="G133" s="2" t="inlineStr">
        <x:is>
          <x:t xml:space="preserve">2017-01-01</x:t>
        </x:is>
      </x:c>
      <x:c r="H133" s="3" t="n"/>
      <x:c r="I133" s="4" t="n"/>
      <x:c r="J133" s="4" t="n"/>
      <x:c r="K133" s="4" t="n"/>
      <x:c r="L133" s="4" t="n"/>
      <x:c r="M133" s="4" t="n">
        <x:v>153652000000</x:v>
      </x:c>
      <x:c r="N133" s="4" t="n"/>
      <x:c r="O133" s="4" t="n"/>
      <x:c r="P133" s="5" t="n">
        <x:v>240</x:v>
      </x:c>
      <x:c r="Q133" s="4" t="n">
        <x:v>2460000000000</x:v>
      </x:c>
      <x:c r="R133" s="4" t="n">
        <x:v>4920000000000</x:v>
      </x:c>
      <x:c r="S133" s="4" t="n"/>
      <x:c r="T133" s="4" t="n"/>
      <x:c r="U133" s="4" t="n"/>
      <x:c r="V133" s="4" t="n"/>
      <x:c r="W133" s="4" t="n"/>
      <x:c r="X133" s="2" t="n"/>
      <x:c r="Y133" s="5" t="n"/>
      <x:c r="Z133" s="5" t="n"/>
      <x:c r="AA133" s="5" t="n"/>
      <x:c r="AB133" s="5" t="n"/>
      <x:c r="AC133" s="5" t="n"/>
      <x:c r="AD133" s="5" t="n"/>
      <x:c r="AE133" s="5" t="n"/>
      <x:c r="AF133" s="5" t="n"/>
      <x:c r="AG133" s="2" t="inlineStr">
        <x:is>
          <x:t xml:space="preserve">https://archive.ph/CdMwe</x:t>
        </x:is>
      </x:c>
      <x:c r="AH133" s="2" t="n"/>
      <x:c r="AI133" s="2" t="n"/>
      <x:c r="AJ133" s="2" t="inlineStr">
        <x:is>
          <x:t xml:space="preserve">2025-07-21 09:56:11+00:00</x:t>
        </x:is>
      </x:c>
      <x:c r="AK133" s="4" t="n">
        <x:v>4920000000000</x:v>
      </x:c>
      <x:c r="AL133" s="4" t="n">
        <x:v>20500000000</x:v>
      </x:c>
      <x:c r="AM133" s="4" t="n">
        <x:v>157440000000000</x:v>
      </x:c>
      <x:c r="AN133" s="4" t="n"/>
      <x:c r="AO133" s="4" t="n">
        <x:v>4920000000000</x:v>
      </x:c>
    </x:row>
    <x:row r="134" s="9" customFormat="1" ht="28.799999237060547" customHeight="1">
      <x:c r="A134" s="2" t="inlineStr">
        <x:is>
          <x:t xml:space="preserve">NVIDIA Quadro P5000</x:t>
        </x:is>
      </x:c>
      <x:c r="B134" s="2" t="str">
        <x:f>IFERROR(VLOOKUP(TRIM($A134),_classification_map!$A$2:$C$227,2,FALSE),"")</x:f>
        <x:v>Pascal</x:v>
      </x:c>
      <x:c r="C134" s="2" t="str">
        <x:f>IFERROR(VLOOKUP(TRIM($A134),_classification_map!$A$2:$C$227,3,FALSE),"")</x:f>
        <x:v>Quadro</x:v>
      </x:c>
      <x:c r="D134" s="2" t="inlineStr">
        <x:is>
          <x:t xml:space="preserve">NVIDIA</x:t>
        </x:is>
      </x:c>
      <x:c r="E134" s="2" t="inlineStr">
        <x:is>
          <x:t xml:space="preserve">GPU</x:t>
        </x:is>
      </x:c>
      <x:c r="F134" s="2" t="n"/>
      <x:c r="G134" s="2" t="inlineStr">
        <x:is>
          <x:t xml:space="preserve">2016-10-01</x:t>
        </x:is>
      </x:c>
      <x:c r="H134" s="3" t="n">
        <x:v>2499</x:v>
      </x:c>
      <x:c r="I134" s="4" t="n"/>
      <x:c r="J134" s="4" t="n"/>
      <x:c r="K134" s="4" t="n"/>
      <x:c r="L134" s="4" t="n">
        <x:v>16000000000</x:v>
      </x:c>
      <x:c r="M134" s="4" t="n">
        <x:v>288000000000</x:v>
      </x:c>
      <x:c r="N134" s="4" t="n"/>
      <x:c r="O134" s="4" t="n"/>
      <x:c r="P134" s="5" t="n">
        <x:v>180</x:v>
      </x:c>
      <x:c r="Q134" s="4" t="n">
        <x:v>277300000000</x:v>
      </x:c>
      <x:c r="R134" s="4" t="n">
        <x:v>8873000000000</x:v>
      </x:c>
      <x:c r="S134" s="4" t="n"/>
      <x:c r="T134" s="4" t="n">
        <x:v>138600000000</x:v>
      </x:c>
      <x:c r="U134" s="4" t="n"/>
      <x:c r="V134" s="4" t="n"/>
      <x:c r="W134" s="4" t="n"/>
      <x:c r="X134" s="2" t="inlineStr">
        <x:is>
          <x:t xml:space="preserve">TSMC</x:t>
        </x:is>
      </x:c>
      <x:c r="Y134" s="5" t="n">
        <x:v>314</x:v>
      </x:c>
      <x:c r="Z134" s="5" t="n">
        <x:v>1607</x:v>
      </x:c>
      <x:c r="AA134" s="5" t="n">
        <x:v>1733</x:v>
      </x:c>
      <x:c r="AB134" s="5" t="n">
        <x:v>1127</x:v>
      </x:c>
      <x:c r="AC134" s="5" t="n">
        <x:v>256</x:v>
      </x:c>
      <x:c r="AD134" s="5" t="n"/>
      <x:c r="AE134" s="5" t="n">
        <x:v>16</x:v>
      </x:c>
      <x:c r="AF134" s="5" t="n">
        <x:v>7200</x:v>
      </x:c>
      <x:c r="AG134" s="2" t="inlineStr">
        <x:is>
          <x:t xml:space="preserve">https://www.techpowerup.com/gpu-specs/quadro-p5000.c2864</x:t>
        </x:is>
      </x:c>
      <x:c r="AH134" s="2" t="inlineStr">
        <x:is>
          <x:t xml:space="preserve">https://www.techpowerup.com/gpu-specs/quadro-p5000.c2864</x:t>
        </x:is>
      </x:c>
      <x:c r="AI134" s="2" t="n"/>
      <x:c r="AJ134" s="2" t="inlineStr">
        <x:is>
          <x:t xml:space="preserve">2025-07-21 09:56:18+00:00</x:t>
        </x:is>
      </x:c>
      <x:c r="AK134" s="4" t="n">
        <x:v>8873000000000</x:v>
      </x:c>
      <x:c r="AL134" s="4" t="n">
        <x:v>49294444444.4444</x:v>
      </x:c>
      <x:c r="AM134" s="4" t="n">
        <x:v>283936000000000</x:v>
      </x:c>
      <x:c r="AN134" s="4" t="n">
        <x:v>3550620248.09924</x:v>
      </x:c>
      <x:c r="AO134" s="4" t="n">
        <x:v>8873000000000</x:v>
      </x:c>
    </x:row>
    <x:row r="135" s="9" customFormat="1" ht="28.799999237060547" customHeight="1">
      <x:c r="A135" s="2" t="inlineStr">
        <x:is>
          <x:t xml:space="preserve">NVIDIA Quadro P6000</x:t>
        </x:is>
      </x:c>
      <x:c r="B135" s="2" t="str">
        <x:f>IFERROR(VLOOKUP(TRIM($A135),_classification_map!$A$2:$C$227,2,FALSE),"")</x:f>
        <x:v>Pascal</x:v>
      </x:c>
      <x:c r="C135" s="2" t="str">
        <x:f>IFERROR(VLOOKUP(TRIM($A135),_classification_map!$A$2:$C$227,3,FALSE),"")</x:f>
        <x:v>Quadro</x:v>
      </x:c>
      <x:c r="D135" s="2" t="inlineStr">
        <x:is>
          <x:t xml:space="preserve">NVIDIA</x:t>
        </x:is>
      </x:c>
      <x:c r="E135" s="2" t="inlineStr">
        <x:is>
          <x:t xml:space="preserve">GPU</x:t>
        </x:is>
      </x:c>
      <x:c r="F135" s="2" t="n"/>
      <x:c r="G135" s="2" t="inlineStr">
        <x:is>
          <x:t xml:space="preserve">2016-10-01</x:t>
        </x:is>
      </x:c>
      <x:c r="H135" s="3" t="n">
        <x:v>5999</x:v>
      </x:c>
      <x:c r="I135" s="4" t="n"/>
      <x:c r="J135" s="4" t="n"/>
      <x:c r="K135" s="4" t="n"/>
      <x:c r="L135" s="4" t="n">
        <x:v>24000000000</x:v>
      </x:c>
      <x:c r="M135" s="4" t="n">
        <x:v>433000000000</x:v>
      </x:c>
      <x:c r="N135" s="4" t="n"/>
      <x:c r="O135" s="4" t="n"/>
      <x:c r="P135" s="5" t="n">
        <x:v>250</x:v>
      </x:c>
      <x:c r="Q135" s="4" t="n">
        <x:v>394800000000</x:v>
      </x:c>
      <x:c r="R135" s="4" t="n">
        <x:v>12630000000000</x:v>
      </x:c>
      <x:c r="S135" s="4" t="n"/>
      <x:c r="T135" s="4" t="n">
        <x:v>197400000000</x:v>
      </x:c>
      <x:c r="U135" s="4" t="n"/>
      <x:c r="V135" s="4" t="n"/>
      <x:c r="W135" s="4" t="n"/>
      <x:c r="X135" s="2" t="inlineStr">
        <x:is>
          <x:t xml:space="preserve">TSMC</x:t>
        </x:is>
      </x:c>
      <x:c r="Y135" s="5" t="n">
        <x:v>471</x:v>
      </x:c>
      <x:c r="Z135" s="5" t="n">
        <x:v>1506</x:v>
      </x:c>
      <x:c r="AA135" s="5" t="n">
        <x:v>1645</x:v>
      </x:c>
      <x:c r="AB135" s="5" t="n">
        <x:v>1127</x:v>
      </x:c>
      <x:c r="AC135" s="5" t="n">
        <x:v>384</x:v>
      </x:c>
      <x:c r="AD135" s="5" t="n"/>
      <x:c r="AE135" s="5" t="n">
        <x:v>16</x:v>
      </x:c>
      <x:c r="AF135" s="5" t="n">
        <x:v>11800</x:v>
      </x:c>
      <x:c r="AG135" s="2" t="inlineStr">
        <x:is>
          <x:t xml:space="preserve">https://www.techpowerup.com/gpu-specs/quadro-p6000.c2865</x:t>
        </x:is>
      </x:c>
      <x:c r="AH135" s="2" t="inlineStr">
        <x:is>
          <x:t xml:space="preserve">https://www.techpowerup.com/gpu-specs/quadro-p6000.c2865</x:t>
        </x:is>
      </x:c>
      <x:c r="AI135" s="2" t="n"/>
      <x:c r="AJ135" s="2" t="inlineStr">
        <x:is>
          <x:t xml:space="preserve">2025-07-21 09:56:18+00:00</x:t>
        </x:is>
      </x:c>
      <x:c r="AK135" s="4" t="n">
        <x:v>12630000000000</x:v>
      </x:c>
      <x:c r="AL135" s="4" t="n">
        <x:v>50520000000</x:v>
      </x:c>
      <x:c r="AM135" s="4" t="n">
        <x:v>404160000000000</x:v>
      </x:c>
      <x:c r="AN135" s="4" t="n">
        <x:v>2105350891.8153</x:v>
      </x:c>
      <x:c r="AO135" s="4" t="n">
        <x:v>12630000000000</x:v>
      </x:c>
    </x:row>
    <x:row r="136" s="9" customFormat="1" ht="28.799999237060547" customHeight="1">
      <x:c r="A136" s="2" t="inlineStr">
        <x:is>
          <x:t xml:space="preserve">NVIDIA H200 PCIe</x:t>
        </x:is>
      </x:c>
      <x:c r="B136" s="2" t="str">
        <x:f>IFERROR(VLOOKUP(TRIM($A136),_classification_map!$A$2:$C$227,2,FALSE),"")</x:f>
        <x:v>Hopper</x:v>
      </x:c>
      <x:c r="C136" s="2" t="str">
        <x:f>IFERROR(VLOOKUP(TRIM($A136),_classification_map!$A$2:$C$227,3,FALSE),"")</x:f>
        <x:v>Datacenter H-series</x:v>
      </x:c>
      <x:c r="D136" s="2" t="inlineStr">
        <x:is>
          <x:t xml:space="preserve">NVIDIA</x:t>
        </x:is>
      </x:c>
      <x:c r="E136" s="2" t="inlineStr">
        <x:is>
          <x:t xml:space="preserve">GPU</x:t>
        </x:is>
      </x:c>
      <x:c r="F136" s="2" t="n"/>
      <x:c r="G136" s="2" t="inlineStr">
        <x:is>
          <x:t xml:space="preserve">2024-11-18</x:t>
        </x:is>
      </x:c>
      <x:c r="H136" s="3" t="n"/>
      <x:c r="I136" s="4" t="n">
        <x:v>989500000000000</x:v>
      </x:c>
      <x:c r="J136" s="4" t="n">
        <x:v>1979000000000000</x:v>
      </x:c>
      <x:c r="K136" s="4" t="n"/>
      <x:c r="L136" s="4" t="n">
        <x:v>141000000000</x:v>
      </x:c>
      <x:c r="M136" s="4" t="n">
        <x:v>4800000000000</x:v>
      </x:c>
      <x:c r="N136" s="4" t="n"/>
      <x:c r="O136" s="4" t="n"/>
      <x:c r="P136" s="5" t="n">
        <x:v>700</x:v>
      </x:c>
      <x:c r="Q136" s="4" t="n">
        <x:v>33450000000000</x:v>
      </x:c>
      <x:c r="R136" s="4" t="n">
        <x:v>66910000000000</x:v>
      </x:c>
      <x:c r="S136" s="4" t="n">
        <x:v>494500000000000</x:v>
      </x:c>
      <x:c r="T136" s="4" t="n"/>
      <x:c r="U136" s="4" t="n"/>
      <x:c r="V136" s="4" t="n">
        <x:v>1979000000000000</x:v>
      </x:c>
      <x:c r="W136" s="4" t="n"/>
      <x:c r="X136" s="2" t="inlineStr">
        <x:is>
          <x:t xml:space="preserve">TSMC</x:t>
        </x:is>
      </x:c>
      <x:c r="Y136" s="5" t="n"/>
      <x:c r="Z136" s="5" t="n"/>
      <x:c r="AA136" s="5" t="n"/>
      <x:c r="AB136" s="5" t="n"/>
      <x:c r="AC136" s="5" t="n"/>
      <x:c r="AD136" s="5" t="n"/>
      <x:c r="AE136" s="5" t="n">
        <x:v>5</x:v>
      </x:c>
      <x:c r="AF136" s="5" t="n"/>
      <x:c r="AG136" s="2" t="inlineStr">
        <x:is>
          <x:t xml:space="preserve">https://nvdam.widen.net/s/nb5zzzsjdf/hpc-datasheet-sc23-h200-datasheet-3002446</x:t>
        </x:is>
      </x:c>
      <x:c r="AH136" s="2" t="n"/>
      <x:c r="AI136" s="2" t="inlineStr">
        <x:is>
          <x:t xml:space="preserve">SEA-LION V3 Llama3.1 8B,SEA-LION V3 Llama3.1 70B,EXAONE 4.0 (32B),EXAONE 4.0 (1.2B),Gemma-SEA-LION-v4-27B-IT</x:t>
        </x:is>
      </x:c>
      <x:c r="AJ136" s="2" t="inlineStr">
        <x:is>
          <x:t xml:space="preserve">2025-12-29 05:59:41+00:00</x:t>
        </x:is>
      </x:c>
      <x:c r="AK136" s="4" t="n">
        <x:v>1979000000000000</x:v>
      </x:c>
      <x:c r="AL136" s="4" t="n">
        <x:v>2827140000000</x:v>
      </x:c>
      <x:c r="AM136" s="4" t="n">
        <x:v>1.58e+16</x:v>
      </x:c>
      <x:c r="AN136" s="4" t="n"/>
      <x:c r="AO136" s="4" t="n">
        <x:v>1979000000000000</x:v>
      </x:c>
    </x:row>
    <x:row r="137" s="9" customFormat="1" ht="43.20000076293945" customHeight="1">
      <x:c r="A137" s="2" t="inlineStr">
        <x:is>
          <x:t xml:space="preserve">AMD Instinct MI300A</x:t>
        </x:is>
      </x:c>
      <x:c r="B137" s="2" t="str">
        <x:f>IFERROR(VLOOKUP(TRIM($A137),_classification_map!$A$2:$C$227,2,FALSE),"")</x:f>
        <x:v>CDNA 3</x:v>
      </x:c>
      <x:c r="C137" s="2" t="str">
        <x:f>IFERROR(VLOOKUP(TRIM($A137),_classification_map!$A$2:$C$227,3,FALSE),"")</x:f>
        <x:v>Instinct MI300</x:v>
      </x:c>
      <x:c r="D137" s="2" t="inlineStr">
        <x:is>
          <x:t xml:space="preserve">AMD</x:t>
        </x:is>
      </x:c>
      <x:c r="E137" s="2" t="inlineStr">
        <x:is>
          <x:t xml:space="preserve">GPU</x:t>
        </x:is>
      </x:c>
      <x:c r="F137" s="2" t="n"/>
      <x:c r="G137" s="2" t="inlineStr">
        <x:is>
          <x:t xml:space="preserve">2023-01-04</x:t>
        </x:is>
      </x:c>
      <x:c r="H137" s="3" t="n"/>
      <x:c r="I137" s="4" t="n">
        <x:v>980600000000000</x:v>
      </x:c>
      <x:c r="J137" s="4" t="n"/>
      <x:c r="K137" s="4" t="n"/>
      <x:c r="L137" s="4" t="n">
        <x:v>128000000000</x:v>
      </x:c>
      <x:c r="M137" s="4" t="n">
        <x:v>5300000000000</x:v>
      </x:c>
      <x:c r="N137" s="4" t="n"/>
      <x:c r="O137" s="4" t="n"/>
      <x:c r="P137" s="5" t="n">
        <x:v>760</x:v>
      </x:c>
      <x:c r="Q137" s="4" t="n">
        <x:v>61300000000000</x:v>
      </x:c>
      <x:c r="R137" s="4" t="n">
        <x:v>122600000000000</x:v>
      </x:c>
      <x:c r="S137" s="4" t="n">
        <x:v>490300000000000</x:v>
      </x:c>
      <x:c r="T137" s="4" t="n">
        <x:v>980600000000000</x:v>
      </x:c>
      <x:c r="U137" s="4" t="n"/>
      <x:c r="V137" s="4" t="n">
        <x:v>1961200000000000</x:v>
      </x:c>
      <x:c r="W137" s="4" t="n"/>
      <x:c r="X137" s="2" t="n"/>
      <x:c r="Y137" s="5" t="n"/>
      <x:c r="Z137" s="5" t="n"/>
      <x:c r="AA137" s="5" t="n"/>
      <x:c r="AB137" s="5" t="n"/>
      <x:c r="AC137" s="5" t="n"/>
      <x:c r="AD137" s="5" t="n"/>
      <x:c r="AE137" s="5" t="n">
        <x:v>5</x:v>
      </x:c>
      <x:c r="AF137" s="5" t="n"/>
      <x:c r="AG137" s="2" t="inlineStr">
        <x:is>
          <x:t xml:space="preserve">https://www.amd.com/content/dam/amd/en/documents/instinct-tech-docs/data-sheets/amd-instinct-mi300a-data-sheet.pdf</x:t>
        </x:is>
      </x:c>
      <x:c r="AH137" s="2" t="n"/>
      <x:c r="AI137" s="2" t="n"/>
      <x:c r="AJ137" s="2" t="inlineStr">
        <x:is>
          <x:t xml:space="preserve">2025-07-21 09:20:37+00:00</x:t>
        </x:is>
      </x:c>
      <x:c r="AK137" s="4" t="n">
        <x:v>1961200000000000</x:v>
      </x:c>
      <x:c r="AL137" s="4" t="n">
        <x:v>2580526315789.47</x:v>
      </x:c>
      <x:c r="AM137" s="4" t="n">
        <x:v>1.56896e+16</x:v>
      </x:c>
      <x:c r="AN137" s="4" t="n"/>
      <x:c r="AO137" s="4" t="n">
        <x:v>1961200000000000</x:v>
      </x:c>
    </x:row>
    <x:row r="138" s="9" customFormat="1" ht="86.4000015258789" customHeight="1">
      <x:c r="A138" s="2" t="inlineStr">
        <x:is>
          <x:t xml:space="preserve">AMD Instinct MI300X</x:t>
        </x:is>
      </x:c>
      <x:c r="B138" s="2" t="str">
        <x:f>IFERROR(VLOOKUP(TRIM($A138),_classification_map!$A$2:$C$227,2,FALSE),"")</x:f>
        <x:v>CDNA 3</x:v>
      </x:c>
      <x:c r="C138" s="2" t="str">
        <x:f>IFERROR(VLOOKUP(TRIM($A138),_classification_map!$A$2:$C$227,3,FALSE),"")</x:f>
        <x:v>Instinct MI300</x:v>
      </x:c>
      <x:c r="D138" s="2" t="inlineStr">
        <x:is>
          <x:t xml:space="preserve">AMD</x:t>
        </x:is>
      </x:c>
      <x:c r="E138" s="2" t="inlineStr">
        <x:is>
          <x:t xml:space="preserve">GPU</x:t>
        </x:is>
      </x:c>
      <x:c r="F138" s="2" t="n"/>
      <x:c r="G138" s="2" t="inlineStr">
        <x:is>
          <x:t xml:space="preserve">2023-12-06</x:t>
        </x:is>
      </x:c>
      <x:c r="H138" s="3" t="n">
        <x:v>15000</x:v>
      </x:c>
      <x:c r="I138" s="4" t="n">
        <x:v>1307400000000000</x:v>
      </x:c>
      <x:c r="J138" s="4" t="n"/>
      <x:c r="K138" s="4" t="n"/>
      <x:c r="L138" s="4" t="n">
        <x:v>192000000000</x:v>
      </x:c>
      <x:c r="M138" s="4" t="n">
        <x:v>5300000000000</x:v>
      </x:c>
      <x:c r="N138" s="4" t="n"/>
      <x:c r="O138" s="4" t="n"/>
      <x:c r="P138" s="5" t="n">
        <x:v>750</x:v>
      </x:c>
      <x:c r="Q138" s="4" t="n">
        <x:v>81700000000000</x:v>
      </x:c>
      <x:c r="R138" s="4" t="n">
        <x:v>163400000000000</x:v>
      </x:c>
      <x:c r="S138" s="4" t="n">
        <x:v>653700000000000</x:v>
      </x:c>
      <x:c r="T138" s="4" t="n">
        <x:v>1307400000000000</x:v>
      </x:c>
      <x:c r="U138" s="4" t="n"/>
      <x:c r="V138" s="4" t="n">
        <x:v>2614900000000000</x:v>
      </x:c>
      <x:c r="W138" s="4" t="n"/>
      <x:c r="X138" s="2" t="inlineStr">
        <x:is>
          <x:t xml:space="preserve">TSMC</x:t>
        </x:is>
      </x:c>
      <x:c r="Y138" s="5" t="n">
        <x:v>1017</x:v>
      </x:c>
      <x:c r="Z138" s="5" t="n"/>
      <x:c r="AA138" s="5" t="n"/>
      <x:c r="AB138" s="5" t="n"/>
      <x:c r="AC138" s="5" t="n"/>
      <x:c r="AD138" s="5" t="n"/>
      <x:c r="AE138" s="5" t="n">
        <x:v>5</x:v>
      </x:c>
      <x:c r="AF138" s="5" t="n"/>
      <x:c r="AG138" s="2" t="inlineStr">
        <x:is>
          <x:t xml:space="preserve">https://www.amd.com/content/dam/amd/en/documents/instinct-tech-docs/data-sheets/amd-instinct-mi300x-data-sheet.pdf
https://www.techpowerup.com/gpu-specs/radeon-instinct-mi300x.c4179</x:t>
        </x:is>
      </x:c>
      <x:c r="AH138" s="2" t="inlineStr">
        <x:is>
          <x:t xml:space="preserve">https://www.tomshardware.com/tech-industry/artificial-intelligence/nvidias-h100-ai-gpus-cost-up-to-four-times-more-than-amds-competing-mi300x-amds-chips-cost-dollar10-to-dollar15k-apiece-nvidias-h100-has-peaked-beyond-dollar40000</x:t>
        </x:is>
      </x:c>
      <x:c r="AI138" s="2" t="inlineStr">
        <x:is>
          <x:t xml:space="preserve">LoongRL 14B</x:t>
        </x:is>
      </x:c>
      <x:c r="AJ138" s="2" t="inlineStr">
        <x:is>
          <x:t xml:space="preserve">2026-03-18 12:56:18+00:00</x:t>
        </x:is>
      </x:c>
      <x:c r="AK138" s="4" t="n">
        <x:v>2614900000000000</x:v>
      </x:c>
      <x:c r="AL138" s="4" t="n">
        <x:v>3486533333333.33</x:v>
      </x:c>
      <x:c r="AM138" s="4" t="n">
        <x:v>2.09192e+16</x:v>
      </x:c>
      <x:c r="AN138" s="4" t="n">
        <x:v>174326666666.667</x:v>
      </x:c>
      <x:c r="AO138" s="4" t="n">
        <x:v>2614900000000000</x:v>
      </x:c>
    </x:row>
    <x:row r="139" s="9" customFormat="1" ht="28.799999237060547" customHeight="1">
      <x:c r="A139" s="2" t="inlineStr">
        <x:is>
          <x:t xml:space="preserve">AMD Instinct MI325X</x:t>
        </x:is>
      </x:c>
      <x:c r="B139" s="2" t="str">
        <x:f>IFERROR(VLOOKUP(TRIM($A139),_classification_map!$A$2:$C$227,2,FALSE),"")</x:f>
        <x:v>CDNA 3</x:v>
      </x:c>
      <x:c r="C139" s="2" t="str">
        <x:f>IFERROR(VLOOKUP(TRIM($A139),_classification_map!$A$2:$C$227,3,FALSE),"")</x:f>
        <x:v>Instinct MI300</x:v>
      </x:c>
      <x:c r="D139" s="2" t="inlineStr">
        <x:is>
          <x:t xml:space="preserve">AMD</x:t>
        </x:is>
      </x:c>
      <x:c r="E139" s="2" t="inlineStr">
        <x:is>
          <x:t xml:space="preserve">GPU</x:t>
        </x:is>
      </x:c>
      <x:c r="F139" s="2" t="n"/>
      <x:c r="G139" s="2" t="inlineStr">
        <x:is>
          <x:t xml:space="preserve">2024-10-10</x:t>
        </x:is>
      </x:c>
      <x:c r="H139" s="3" t="n"/>
      <x:c r="I139" s="4" t="n">
        <x:v>1307400000000000</x:v>
      </x:c>
      <x:c r="J139" s="4" t="n"/>
      <x:c r="K139" s="4" t="n"/>
      <x:c r="L139" s="4" t="n">
        <x:v>256000000000</x:v>
      </x:c>
      <x:c r="M139" s="4" t="n">
        <x:v>6000000000000</x:v>
      </x:c>
      <x:c r="N139" s="4" t="n"/>
      <x:c r="O139" s="4" t="n"/>
      <x:c r="P139" s="5" t="n">
        <x:v>1000</x:v>
      </x:c>
      <x:c r="Q139" s="4" t="n">
        <x:v>81700000000000</x:v>
      </x:c>
      <x:c r="R139" s="4" t="n">
        <x:v>163400000000000</x:v>
      </x:c>
      <x:c r="S139" s="4" t="n">
        <x:v>653700000000000</x:v>
      </x:c>
      <x:c r="T139" s="4" t="n">
        <x:v>1300000000000000</x:v>
      </x:c>
      <x:c r="U139" s="4" t="n"/>
      <x:c r="V139" s="4" t="n">
        <x:v>2600000000000000</x:v>
      </x:c>
      <x:c r="W139" s="4" t="n"/>
      <x:c r="X139" s="2" t="inlineStr">
        <x:is>
          <x:t xml:space="preserve">TSMC</x:t>
        </x:is>
      </x:c>
      <x:c r="Y139" s="5" t="n"/>
      <x:c r="Z139" s="5" t="n">
        <x:v>2100</x:v>
      </x:c>
      <x:c r="AA139" s="5" t="n"/>
      <x:c r="AB139" s="5" t="n">
        <x:v>1000</x:v>
      </x:c>
      <x:c r="AC139" s="5" t="n"/>
      <x:c r="AD139" s="5" t="n"/>
      <x:c r="AE139" s="5" t="n">
        <x:v>5</x:v>
      </x:c>
      <x:c r="AF139" s="5" t="n">
        <x:v>153000</x:v>
      </x:c>
      <x:c r="AG139" s="2" t="inlineStr">
        <x:is>
          <x:t xml:space="preserve">https://www.amd.com/en/products/accelerators/instinct/mi300/mi325x.html</x:t>
        </x:is>
      </x:c>
      <x:c r="AH139" s="2" t="n"/>
      <x:c r="AI139" s="2" t="n"/>
      <x:c r="AJ139" s="2" t="inlineStr">
        <x:is>
          <x:t xml:space="preserve">2025-11-05 21:14:16+00:00</x:t>
        </x:is>
      </x:c>
      <x:c r="AK139" s="4" t="n">
        <x:v>2600000000000000</x:v>
      </x:c>
      <x:c r="AL139" s="4" t="n">
        <x:v>2600000000000</x:v>
      </x:c>
      <x:c r="AM139" s="4" t="n">
        <x:v>2.08e+16</x:v>
      </x:c>
      <x:c r="AN139" s="4" t="n"/>
      <x:c r="AO139" s="4" t="n">
        <x:v>2600000000000000</x:v>
      </x:c>
    </x:row>
    <x:row r="140" s="9" customFormat="1" ht="28.799999237060547" customHeight="1">
      <x:c r="A140" s="2" t="inlineStr">
        <x:is>
          <x:t xml:space="preserve">Meta MTIA 300</x:t>
        </x:is>
      </x:c>
      <x:c r="B140" s="2" t="str">
        <x:f>IFERROR(VLOOKUP(TRIM($A140),_classification_map!$A$2:$C$227,2,FALSE),"")</x:f>
        <x:v>MTIA 300</x:v>
      </x:c>
      <x:c r="C140" s="2" t="str">
        <x:f>IFERROR(VLOOKUP(TRIM($A140),_classification_map!$A$2:$C$227,3,FALSE),"")</x:f>
        <x:v>MTIA</x:v>
      </x:c>
      <x:c r="D140" s="2" t="inlineStr">
        <x:is>
          <x:t xml:space="preserve">Meta</x:t>
        </x:is>
      </x:c>
      <x:c r="E140" s="2" t="inlineStr">
        <x:is>
          <x:t xml:space="preserve">Other</x:t>
        </x:is>
      </x:c>
      <x:c r="F140" s="2" t="inlineStr">
        <x:is>
          <x:t xml:space="preserve">Primarily used for ranking and recommendation (R&amp;R) inference and training.</x:t>
        </x:is>
      </x:c>
      <x:c r="G140" s="2" t="inlineStr">
        <x:is>
          <x:t xml:space="preserve">2026-03-11</x:t>
        </x:is>
      </x:c>
      <x:c r="H140" s="3" t="n"/>
      <x:c r="I140" s="4" t="n">
        <x:v>600000000000000</x:v>
      </x:c>
      <x:c r="J140" s="4" t="n">
        <x:v>1200000000000000</x:v>
      </x:c>
      <x:c r="K140" s="4" t="n"/>
      <x:c r="L140" s="4" t="n">
        <x:v>216000000000</x:v>
      </x:c>
      <x:c r="M140" s="4" t="n">
        <x:v>6100000000000</x:v>
      </x:c>
      <x:c r="N140" s="4" t="n"/>
      <x:c r="O140" s="4" t="n"/>
      <x:c r="P140" s="5" t="n">
        <x:v>800</x:v>
      </x:c>
      <x:c r="Q140" s="4" t="n"/>
      <x:c r="R140" s="4" t="n"/>
      <x:c r="S140" s="4" t="n"/>
      <x:c r="T140" s="4" t="n"/>
      <x:c r="U140" s="4" t="n"/>
      <x:c r="V140" s="4" t="n"/>
      <x:c r="W140" s="4" t="n"/>
      <x:c r="X140" s="2" t="inlineStr">
        <x:is>
          <x:t xml:space="preserve">TSMC</x:t>
        </x:is>
      </x:c>
      <x:c r="Y140" s="5" t="n"/>
      <x:c r="Z140" s="5" t="n"/>
      <x:c r="AA140" s="5" t="n"/>
      <x:c r="AB140" s="5" t="n"/>
      <x:c r="AC140" s="5" t="n"/>
      <x:c r="AD140" s="5" t="n"/>
      <x:c r="AE140" s="5" t="n"/>
      <x:c r="AF140" s="5" t="n"/>
      <x:c r="AG140" s="2" t="inlineStr">
        <x:is>
          <x:t xml:space="preserve">https://ai.meta.com/blog/meta-mtia-scale-ai-chips-for-billions/</x:t>
        </x:is>
      </x:c>
      <x:c r="AH140" s="2" t="n"/>
      <x:c r="AI140" s="2" t="n"/>
      <x:c r="AJ140" s="2" t="inlineStr">
        <x:is>
          <x:t xml:space="preserve">2026-03-11 17:54:05+00:00</x:t>
        </x:is>
      </x:c>
      <x:c r="AK140" s="4" t="n">
        <x:v>600000000000000</x:v>
      </x:c>
      <x:c r="AL140" s="4" t="n">
        <x:v>750000000000</x:v>
      </x:c>
      <x:c r="AM140" s="4" t="n">
        <x:v>2832000000000000</x:v>
      </x:c>
      <x:c r="AN140" s="4" t="n"/>
      <x:c r="AO140" s="4" t="n">
        <x:v>1200000000000000</x:v>
      </x:c>
    </x:row>
    <x:row r="141" s="9" customFormat="1" ht="28.799999237060547" customHeight="1">
      <x:c r="A141" s="2" t="inlineStr">
        <x:is>
          <x:t xml:space="preserve">NVIDIA GeForce GTX 1080</x:t>
        </x:is>
      </x:c>
      <x:c r="B141" s="2" t="str">
        <x:f>IFERROR(VLOOKUP(TRIM($A141),_classification_map!$A$2:$C$227,2,FALSE),"")</x:f>
        <x:v>Pascal</x:v>
      </x:c>
      <x:c r="C141" s="2" t="str">
        <x:f>IFERROR(VLOOKUP(TRIM($A141),_classification_map!$A$2:$C$227,3,FALSE),"")</x:f>
        <x:v>GeForce GTX</x:v>
      </x:c>
      <x:c r="D141" s="2" t="inlineStr">
        <x:is>
          <x:t xml:space="preserve">NVIDIA</x:t>
        </x:is>
      </x:c>
      <x:c r="E141" s="2" t="inlineStr">
        <x:is>
          <x:t xml:space="preserve">GPU</x:t>
        </x:is>
      </x:c>
      <x:c r="F141" s="2" t="n"/>
      <x:c r="G141" s="2" t="inlineStr">
        <x:is>
          <x:t xml:space="preserve">2016-05-27</x:t>
        </x:is>
      </x:c>
      <x:c r="H141" s="3" t="n">
        <x:v>599</x:v>
      </x:c>
      <x:c r="I141" s="4" t="n"/>
      <x:c r="J141" s="4" t="n"/>
      <x:c r="K141" s="4" t="n"/>
      <x:c r="L141" s="4" t="n">
        <x:v>8000000000</x:v>
      </x:c>
      <x:c r="M141" s="4" t="n">
        <x:v>320300000000</x:v>
      </x:c>
      <x:c r="N141" s="4" t="n"/>
      <x:c r="O141" s="4" t="n"/>
      <x:c r="P141" s="5" t="n">
        <x:v>180</x:v>
      </x:c>
      <x:c r="Q141" s="4" t="n">
        <x:v>277300000000</x:v>
      </x:c>
      <x:c r="R141" s="4" t="n">
        <x:v>8873000000000</x:v>
      </x:c>
      <x:c r="S141" s="4" t="n"/>
      <x:c r="T141" s="4" t="n">
        <x:v>138600000000</x:v>
      </x:c>
      <x:c r="U141" s="4" t="n"/>
      <x:c r="V141" s="4" t="n"/>
      <x:c r="W141" s="4" t="n"/>
      <x:c r="X141" s="2" t="inlineStr">
        <x:is>
          <x:t xml:space="preserve">TSMC</x:t>
        </x:is>
      </x:c>
      <x:c r="Y141" s="5" t="n">
        <x:v>314</x:v>
      </x:c>
      <x:c r="Z141" s="5" t="n">
        <x:v>1607</x:v>
      </x:c>
      <x:c r="AA141" s="5" t="n">
        <x:v>1733</x:v>
      </x:c>
      <x:c r="AB141" s="5" t="n"/>
      <x:c r="AC141" s="5" t="n">
        <x:v>256</x:v>
      </x:c>
      <x:c r="AD141" s="5" t="n"/>
      <x:c r="AE141" s="5" t="n">
        <x:v>16</x:v>
      </x:c>
      <x:c r="AF141" s="5" t="n">
        <x:v>7200</x:v>
      </x:c>
      <x:c r="AG141" s="2" t="inlineStr">
        <x:is>
          <x:t xml:space="preserve">https://www.techpowerup.com/gpu-specs/geforce-gtx-1080.c2839</x:t>
        </x:is>
      </x:c>
      <x:c r="AH141" s="2" t="n"/>
      <x:c r="AI141" s="2" t="inlineStr">
        <x:is>
          <x:t xml:space="preserve">SEST,CT-MoS (PTB),CT-MoS + DynamicEval (PTB),AWD-LSTM + DeFINE</x:t>
        </x:is>
      </x:c>
      <x:c r="AJ141" s="2" t="inlineStr">
        <x:is>
          <x:t xml:space="preserve">2026-03-18 12:56:18+00:00</x:t>
        </x:is>
      </x:c>
      <x:c r="AK141" s="4" t="n">
        <x:v>8873000000000</x:v>
      </x:c>
      <x:c r="AL141" s="4" t="n">
        <x:v>49294444444.4444</x:v>
      </x:c>
      <x:c r="AM141" s="4" t="n">
        <x:v>283936000000000</x:v>
      </x:c>
      <x:c r="AN141" s="4" t="n">
        <x:v>14813021702.8381</x:v>
      </x:c>
      <x:c r="AO141" s="4" t="n">
        <x:v>8873000000000</x:v>
      </x:c>
    </x:row>
    <x:row r="142" s="9" customFormat="1" ht="28.799999237060547" customHeight="1">
      <x:c r="A142" s="2" t="inlineStr">
        <x:is>
          <x:t xml:space="preserve">AMD Radeon Instinct MI300</x:t>
        </x:is>
      </x:c>
      <x:c r="B142" s="2" t="str">
        <x:f>IFERROR(VLOOKUP(TRIM($A142),_classification_map!$A$2:$C$227,2,FALSE),"")</x:f>
        <x:v>CDNA 3</x:v>
      </x:c>
      <x:c r="C142" s="2" t="str">
        <x:f>IFERROR(VLOOKUP(TRIM($A142),_classification_map!$A$2:$C$227,3,FALSE),"")</x:f>
        <x:v>Instinct MI300</x:v>
      </x:c>
      <x:c r="D142" s="2" t="inlineStr">
        <x:is>
          <x:t xml:space="preserve">AMD</x:t>
        </x:is>
      </x:c>
      <x:c r="E142" s="2" t="inlineStr">
        <x:is>
          <x:t xml:space="preserve">GPU</x:t>
        </x:is>
      </x:c>
      <x:c r="F142" s="2" t="n"/>
      <x:c r="G142" s="2" t="inlineStr">
        <x:is>
          <x:t xml:space="preserve">2023-01-04</x:t>
        </x:is>
      </x:c>
      <x:c r="H142" s="3" t="n"/>
      <x:c r="I142" s="4" t="n"/>
      <x:c r="J142" s="4" t="n"/>
      <x:c r="K142" s="4" t="n"/>
      <x:c r="L142" s="4" t="n">
        <x:v>128000000000</x:v>
      </x:c>
      <x:c r="M142" s="4" t="n">
        <x:v>6550000000000</x:v>
      </x:c>
      <x:c r="N142" s="4" t="n"/>
      <x:c r="O142" s="4" t="n"/>
      <x:c r="P142" s="5" t="n">
        <x:v>600</x:v>
      </x:c>
      <x:c r="Q142" s="4" t="n">
        <x:v>47870000000000</x:v>
      </x:c>
      <x:c r="R142" s="4" t="n">
        <x:v>47870000000000</x:v>
      </x:c>
      <x:c r="S142" s="4" t="n"/>
      <x:c r="T142" s="4" t="n">
        <x:v>383000000000000</x:v>
      </x:c>
      <x:c r="U142" s="4" t="n"/>
      <x:c r="V142" s="4" t="n"/>
      <x:c r="W142" s="4" t="n"/>
      <x:c r="X142" s="2" t="inlineStr">
        <x:is>
          <x:t xml:space="preserve">TSMC</x:t>
        </x:is>
      </x:c>
      <x:c r="Y142" s="5" t="n">
        <x:v>1017</x:v>
      </x:c>
      <x:c r="Z142" s="5" t="n">
        <x:v>1000</x:v>
      </x:c>
      <x:c r="AA142" s="5" t="n">
        <x:v>1700</x:v>
      </x:c>
      <x:c r="AB142" s="5" t="n">
        <x:v>1600</x:v>
      </x:c>
      <x:c r="AC142" s="5" t="n">
        <x:v>8192</x:v>
      </x:c>
      <x:c r="AD142" s="5" t="n">
        <x:v>880</x:v>
      </x:c>
      <x:c r="AE142" s="5" t="n">
        <x:v>5</x:v>
      </x:c>
      <x:c r="AF142" s="5" t="n">
        <x:v>153000</x:v>
      </x:c>
      <x:c r="AG142" s="2" t="inlineStr">
        <x:is>
          <x:t xml:space="preserve">https://www.techpowerup.com/gpu-specs/radeon-instinct-mi300.c4019</x:t>
        </x:is>
      </x:c>
      <x:c r="AH142" s="2" t="n"/>
      <x:c r="AI142" s="2" t="n"/>
      <x:c r="AJ142" s="2" t="inlineStr">
        <x:is>
          <x:t xml:space="preserve">2025-07-27 17:27:01+00:00</x:t>
        </x:is>
      </x:c>
      <x:c r="AK142" s="4" t="n">
        <x:v>383000000000000</x:v>
      </x:c>
      <x:c r="AL142" s="4" t="n">
        <x:v>638333333333.333</x:v>
      </x:c>
      <x:c r="AM142" s="4" t="n">
        <x:v>6128000000000000</x:v>
      </x:c>
      <x:c r="AN142" s="4" t="n"/>
      <x:c r="AO142" s="4" t="n">
        <x:v>383000000000000</x:v>
      </x:c>
    </x:row>
    <x:row r="143" s="9" customFormat="1" ht="316.79998779296875" customHeight="1">
      <x:c r="A143" s="2" t="inlineStr">
        <x:is>
          <x:t xml:space="preserve">Google TPU v7 Ironwood</x:t>
        </x:is>
      </x:c>
      <x:c r="B143" s="2" t="str">
        <x:f>IFERROR(VLOOKUP(TRIM($A143),_classification_map!$A$2:$C$227,2,FALSE),"")</x:f>
        <x:v>TPU v7</x:v>
      </x:c>
      <x:c r="C143" s="2" t="str">
        <x:f>IFERROR(VLOOKUP(TRIM($A143),_classification_map!$A$2:$C$227,3,FALSE),"")</x:f>
        <x:v>TPU</x:v>
      </x:c>
      <x:c r="D143" s="2" t="inlineStr">
        <x:is>
          <x:t xml:space="preserve">Google</x:t>
        </x:is>
      </x:c>
      <x:c r="E143" s="2" t="inlineStr">
        <x:is>
          <x:t xml:space="preserve">TPU</x:t>
        </x:is>
      </x:c>
      <x:c r="F143" s="2" t="inlineStr">
        <x:is>
          <x:t xml:space="preserve">source for release date: https://www.cnbc.com/2025/11/06/google-unveils-ironwood-seventh-generation-tpu-competing-with-nvidia.html
Google does not officially state TPUv7's TDP. In the blog post announcing TPUv7 (https://blog.google/products/google-cloud/ironwood-tpu-age-of-inference/ ), Google disclosed that TPUv7 is 29.3x more efficient than the TPUv2 in peak FLOP/s per TDP (measuring peak FLOP/s as either FP8 or bf16 FLOP/s when FP8 is not supported). 
TPUv2 does 46 TFLOP/s peak and has a TDP of 280 W. 
TPUv7 does 4614 TFLOP/s peak (FP8). So the TPUv7's TDP is (4614 TFLOP/s / 46 TFLOP/s) * 280 W / 29.3x efficiency = ~959 W. Note that this may be a slightly approximate figure due to rounding on Google's part. We round to 960 W.
</x:t>
        </x:is>
      </x:c>
      <x:c r="G143" s="2" t="inlineStr">
        <x:is>
          <x:t xml:space="preserve">2025-11-06</x:t>
        </x:is>
      </x:c>
      <x:c r="H143" s="3" t="n"/>
      <x:c r="I143" s="4" t="n">
        <x:v>2307000000000000</x:v>
      </x:c>
      <x:c r="J143" s="4" t="n">
        <x:v>4614000000000000</x:v>
      </x:c>
      <x:c r="K143" s="4" t="n"/>
      <x:c r="L143" s="4" t="n">
        <x:v>192000000000</x:v>
      </x:c>
      <x:c r="M143" s="4" t="n">
        <x:v>7370000000000</x:v>
      </x:c>
      <x:c r="N143" s="4" t="n"/>
      <x:c r="O143" s="4" t="n"/>
      <x:c r="P143" s="5" t="n">
        <x:v>960</x:v>
      </x:c>
      <x:c r="Q143" s="4" t="n"/>
      <x:c r="R143" s="4" t="n"/>
      <x:c r="S143" s="4" t="n"/>
      <x:c r="T143" s="4" t="n"/>
      <x:c r="U143" s="4" t="n"/>
      <x:c r="V143" s="4" t="n"/>
      <x:c r="W143" s="4" t="n"/>
      <x:c r="X143" s="2" t="n"/>
      <x:c r="Y143" s="5" t="n"/>
      <x:c r="Z143" s="5" t="n"/>
      <x:c r="AA143" s="5" t="n"/>
      <x:c r="AB143" s="5" t="n"/>
      <x:c r="AC143" s="5" t="n"/>
      <x:c r="AD143" s="5" t="n"/>
      <x:c r="AE143" s="5" t="n"/>
      <x:c r="AF143" s="5" t="n"/>
      <x:c r="AG143" s="2" t="inlineStr">
        <x:is>
          <x:t xml:space="preserve">https://blog.google/products/google-cloud/ironwood-tpu-age-of-inference/
https://docs.cloud.google.com/tpu/docs/tpu7x</x:t>
        </x:is>
      </x:c>
      <x:c r="AH143" s="2" t="n"/>
      <x:c r="AI143" s="2" t="inlineStr">
        <x:is>
          <x:t xml:space="preserve">Gemini 3 Pro</x:t>
        </x:is>
      </x:c>
      <x:c r="AJ143" s="2" t="inlineStr">
        <x:is>
          <x:t xml:space="preserve">2026-03-18 12:56:18+00:00</x:t>
        </x:is>
      </x:c>
      <x:c r="AK143" s="4" t="n">
        <x:v>2307000000000000</x:v>
      </x:c>
      <x:c r="AL143" s="4" t="n">
        <x:v>2403125000000</x:v>
      </x:c>
      <x:c r="AM143" s="4" t="n">
        <x:v>3.6912e+16</x:v>
      </x:c>
      <x:c r="AN143" s="4" t="n"/>
      <x:c r="AO143" s="4" t="n">
        <x:v>4614000000000000</x:v>
      </x:c>
    </x:row>
    <x:row r="144">
      <x:c r="A144" s="2" t="inlineStr">
        <x:is>
          <x:t xml:space="preserve">NVIDIA Tesla P100 DGXS</x:t>
        </x:is>
      </x:c>
      <x:c r="B144" s="2" t="str">
        <x:f>IFERROR(VLOOKUP(TRIM($A144),_classification_map!$A$2:$C$227,2,FALSE),"")</x:f>
        <x:v>Pascal</x:v>
      </x:c>
      <x:c r="C144" s="2" t="str">
        <x:f>IFERROR(VLOOKUP(TRIM($A144),_classification_map!$A$2:$C$227,3,FALSE),"")</x:f>
        <x:v>Tesla</x:v>
      </x:c>
      <x:c r="D144" s="2" t="inlineStr">
        <x:is>
          <x:t xml:space="preserve">NVIDIA</x:t>
        </x:is>
      </x:c>
      <x:c r="E144" s="2" t="inlineStr">
        <x:is>
          <x:t xml:space="preserve">GPU</x:t>
        </x:is>
      </x:c>
      <x:c r="F144" s="2" t="n"/>
      <x:c r="G144" s="2" t="inlineStr">
        <x:is>
          <x:t xml:space="preserve">2016-04-05</x:t>
        </x:is>
      </x:c>
      <x:c r="H144" s="3" t="n"/>
      <x:c r="I144" s="4" t="n"/>
      <x:c r="J144" s="4" t="n"/>
      <x:c r="K144" s="4" t="n"/>
      <x:c r="L144" s="4" t="n"/>
      <x:c r="M144" s="4" t="n"/>
      <x:c r="N144" s="4" t="n"/>
      <x:c r="O144" s="4" t="n"/>
      <x:c r="P144" s="5" t="n">
        <x:v>300</x:v>
      </x:c>
      <x:c r="Q144" s="4" t="n">
        <x:v>5304000000000</x:v>
      </x:c>
      <x:c r="R144" s="4" t="n">
        <x:v>10610000000000</x:v>
      </x:c>
      <x:c r="S144" s="4" t="n"/>
      <x:c r="T144" s="4" t="n">
        <x:v>21220000000000</x:v>
      </x:c>
      <x:c r="U144" s="4" t="n"/>
      <x:c r="V144" s="4" t="n"/>
      <x:c r="W144" s="4" t="n"/>
      <x:c r="X144" s="2" t="inlineStr">
        <x:is>
          <x:t xml:space="preserve">TSMC</x:t>
        </x:is>
      </x:c>
      <x:c r="Y144" s="5" t="n">
        <x:v>610</x:v>
      </x:c>
      <x:c r="Z144" s="5" t="n">
        <x:v>1328</x:v>
      </x:c>
      <x:c r="AA144" s="5" t="n"/>
      <x:c r="AB144" s="5" t="n"/>
      <x:c r="AC144" s="5" t="n"/>
      <x:c r="AD144" s="5" t="n"/>
      <x:c r="AE144" s="5" t="n">
        <x:v>16</x:v>
      </x:c>
      <x:c r="AF144" s="5" t="n">
        <x:v>15300</x:v>
      </x:c>
      <x:c r="AG144" s="2" t="n"/>
      <x:c r="AH144" s="2" t="n"/>
      <x:c r="AI144" s="2" t="n"/>
      <x:c r="AJ144" s="2" t="inlineStr">
        <x:is>
          <x:t xml:space="preserve">2025-10-29 21:56:39+00:00</x:t>
        </x:is>
      </x:c>
      <x:c r="AK144" s="4" t="n">
        <x:v>21220000000000</x:v>
      </x:c>
      <x:c r="AL144" s="4" t="n">
        <x:v>70733333333.3333</x:v>
      </x:c>
      <x:c r="AM144" s="4" t="n">
        <x:v>339520000000000</x:v>
      </x:c>
      <x:c r="AN144" s="4" t="n"/>
      <x:c r="AO144" s="4" t="n">
        <x:v>21220000000000</x:v>
      </x:c>
    </x:row>
    <x:row r="145" s="9" customFormat="1" ht="72" customHeight="1">
      <x:c r="A145" s="2" t="inlineStr">
        <x:is>
          <x:t xml:space="preserve">NVIDIA B300 (Blackwell Ultra)</x:t>
        </x:is>
      </x:c>
      <x:c r="B145" s="2" t="str">
        <x:f>IFERROR(VLOOKUP(TRIM($A145),_classification_map!$A$2:$C$227,2,FALSE),"")</x:f>
        <x:v>Blackwell Ultra</x:v>
      </x:c>
      <x:c r="C145" s="2" t="str">
        <x:f>IFERROR(VLOOKUP(TRIM($A145),_classification_map!$A$2:$C$227,3,FALSE),"")</x:f>
        <x:v>Datacenter B-series</x:v>
      </x:c>
      <x:c r="D145" s="2" t="inlineStr">
        <x:is>
          <x:t xml:space="preserve">NVIDIA</x:t>
        </x:is>
      </x:c>
      <x:c r="E145" s="2" t="inlineStr">
        <x:is>
          <x:t xml:space="preserve">GPU</x:t>
        </x:is>
      </x:c>
      <x:c r="F145" s="2" t="inlineStr">
        <x:is>
          <x:t xml:space="preserve">Individual GPUs are sometimes called Blackwell Ultra, but systems are referred to as B300. Performance figures are listed without sparsity.</x:t>
        </x:is>
      </x:c>
      <x:c r="G145" s="2" t="inlineStr">
        <x:is>
          <x:t xml:space="preserve">2025-08-22</x:t>
        </x:is>
      </x:c>
      <x:c r="H145" s="3" t="n"/>
      <x:c r="I145" s="4" t="n">
        <x:v>2250000000000000</x:v>
      </x:c>
      <x:c r="J145" s="4" t="n">
        <x:v>4500000000000000</x:v>
      </x:c>
      <x:c r="K145" s="4" t="n">
        <x:v>1.4e+16</x:v>
      </x:c>
      <x:c r="L145" s="4" t="n">
        <x:v>270000000000</x:v>
      </x:c>
      <x:c r="M145" s="4" t="n">
        <x:v>7700000000000</x:v>
      </x:c>
      <x:c r="N145" s="4" t="n">
        <x:v>1800000000000</x:v>
      </x:c>
      <x:c r="O145" s="4" t="n"/>
      <x:c r="P145" s="5" t="n">
        <x:v>1100</x:v>
      </x:c>
      <x:c r="Q145" s="4" t="n">
        <x:v>1200000000000</x:v>
      </x:c>
      <x:c r="R145" s="4" t="n">
        <x:v>75000000000000</x:v>
      </x:c>
      <x:c r="S145" s="4" t="n">
        <x:v>1100000000000000</x:v>
      </x:c>
      <x:c r="T145" s="4" t="n"/>
      <x:c r="U145" s="4" t="n"/>
      <x:c r="V145" s="4" t="n">
        <x:v>157500000000000</x:v>
      </x:c>
      <x:c r="W145" s="4" t="n">
        <x:v>1.35e+16</x:v>
      </x:c>
      <x:c r="X145" s="2" t="inlineStr">
        <x:is>
          <x:t xml:space="preserve">TSMC</x:t>
        </x:is>
      </x:c>
      <x:c r="Y145" s="5" t="n"/>
      <x:c r="Z145" s="5" t="n"/>
      <x:c r="AA145" s="5" t="n"/>
      <x:c r="AB145" s="5" t="n"/>
      <x:c r="AC145" s="5" t="n"/>
      <x:c r="AD145" s="5" t="n">
        <x:v>640</x:v>
      </x:c>
      <x:c r="AE145" s="5" t="n">
        <x:v>4</x:v>
      </x:c>
      <x:c r="AF145" s="5" t="n">
        <x:v>208000</x:v>
      </x:c>
      <x:c r="AG145" s="2" t="inlineStr">
        <x:is>
          <x:t xml:space="preserve">https://developer.nvidia.com/blog/inside-nvidia-blackwell-ultra-the-chip-powering-the-ai-factory-era/
https://resources.nvidia.com/en-us-blackwell-architecture/blackwell-ultra-datasheet</x:t>
        </x:is>
      </x:c>
      <x:c r="AH145" s="2" t="n"/>
      <x:c r="AI145" s="2" t="inlineStr">
        <x:is>
          <x:t xml:space="preserve">Arcee Trinity Large</x:t>
        </x:is>
      </x:c>
      <x:c r="AJ145" s="2" t="inlineStr">
        <x:is>
          <x:t xml:space="preserve">2026-03-18 12:56:18+00:00</x:t>
        </x:is>
      </x:c>
      <x:c r="AK145" s="4" t="n">
        <x:v>1.35e+16</x:v>
      </x:c>
      <x:c r="AL145" s="4" t="n">
        <x:v>12272727272727.3</x:v>
      </x:c>
      <x:c r="AM145" s="4" t="n"/>
      <x:c r="AN145" s="4" t="n"/>
      <x:c r="AO145" s="4" t="n">
        <x:v>4500000000000000</x:v>
      </x:c>
    </x:row>
    <x:row r="146" s="9" customFormat="1" ht="72" customHeight="1">
      <x:c r="A146" s="2" t="inlineStr">
        <x:is>
          <x:t xml:space="preserve">NVIDIA B200</x:t>
        </x:is>
      </x:c>
      <x:c r="B146" s="2" t="str">
        <x:f>IFERROR(VLOOKUP(TRIM($A146),_classification_map!$A$2:$C$227,2,FALSE),"")</x:f>
        <x:v>Blackwell</x:v>
      </x:c>
      <x:c r="C146" s="2" t="str">
        <x:f>IFERROR(VLOOKUP(TRIM($A146),_classification_map!$A$2:$C$227,3,FALSE),"")</x:f>
        <x:v>Datacenter B-series</x:v>
      </x:c>
      <x:c r="D146" s="2" t="inlineStr">
        <x:is>
          <x:t xml:space="preserve">NVIDIA</x:t>
        </x:is>
      </x:c>
      <x:c r="E146" s="2" t="inlineStr">
        <x:is>
          <x:t xml:space="preserve">GPU</x:t>
        </x:is>
      </x:c>
      <x:c r="F146" s="2" t="inlineStr">
        <x:is>
          <x:t xml:space="preserve">Listed performance figures are without sparsity.</x:t>
        </x:is>
      </x:c>
      <x:c r="G146" s="2" t="inlineStr">
        <x:is>
          <x:t xml:space="preserve">2024-11-15</x:t>
        </x:is>
      </x:c>
      <x:c r="H146" s="3" t="n"/>
      <x:c r="I146" s="4" t="n">
        <x:v>2250000000000000</x:v>
      </x:c>
      <x:c r="J146" s="4" t="n">
        <x:v>4500000000000000</x:v>
      </x:c>
      <x:c r="K146" s="4" t="n">
        <x:v>9000000000000000</x:v>
      </x:c>
      <x:c r="L146" s="4" t="n">
        <x:v>180000000000</x:v>
      </x:c>
      <x:c r="M146" s="4" t="n">
        <x:v>7700000000000</x:v>
      </x:c>
      <x:c r="N146" s="4" t="n"/>
      <x:c r="O146" s="4" t="n"/>
      <x:c r="P146" s="5" t="n">
        <x:v>1000</x:v>
      </x:c>
      <x:c r="Q146" s="4" t="n">
        <x:v>31040000000000</x:v>
      </x:c>
      <x:c r="R146" s="4" t="n">
        <x:v>62080000000000</x:v>
      </x:c>
      <x:c r="S146" s="4" t="n">
        <x:v>1125000000000000</x:v>
      </x:c>
      <x:c r="T146" s="4" t="n">
        <x:v>2250000000000000</x:v>
      </x:c>
      <x:c r="U146" s="4" t="n"/>
      <x:c r="V146" s="4" t="n">
        <x:v>4500000000000000</x:v>
      </x:c>
      <x:c r="W146" s="4" t="n">
        <x:v>9000000000000000</x:v>
      </x:c>
      <x:c r="X146" s="2" t="inlineStr">
        <x:is>
          <x:t xml:space="preserve">TSMC</x:t>
        </x:is>
      </x:c>
      <x:c r="Y146" s="5" t="n"/>
      <x:c r="Z146" s="5" t="n"/>
      <x:c r="AA146" s="5" t="n"/>
      <x:c r="AB146" s="5" t="n"/>
      <x:c r="AC146" s="5" t="n"/>
      <x:c r="AD146" s="5" t="n"/>
      <x:c r="AE146" s="5" t="n"/>
      <x:c r="AF146" s="5" t="n"/>
      <x:c r="AG146" s="2" t="inlineStr">
        <x:is>
          <x:t xml:space="preserve">https://www.primeline-solutions.com/media/categories/server/nach-gpu/nvidia-hgx-h200/nvidia-blackwell-b200-datasheet.pdf
https://drive.google.com/file/d/1Wc9tdHdy3UthQ6ttW98RgrdUx8Vva5tU/view</x:t>
        </x:is>
      </x:c>
      <x:c r="AH146" s="2" t="n"/>
      <x:c r="AI146" s="2" t="n"/>
      <x:c r="AJ146" s="2" t="inlineStr">
        <x:is>
          <x:t xml:space="preserve">2025-11-13 14:52:20+00:00</x:t>
        </x:is>
      </x:c>
      <x:c r="AK146" s="4" t="n">
        <x:v>9000000000000000</x:v>
      </x:c>
      <x:c r="AL146" s="4" t="n">
        <x:v>9000000000000</x:v>
      </x:c>
      <x:c r="AM146" s="4" t="n">
        <x:v>3.6e+16</x:v>
      </x:c>
      <x:c r="AN146" s="4" t="n"/>
      <x:c r="AO146" s="4" t="n">
        <x:v>4500000000000000</x:v>
      </x:c>
    </x:row>
    <x:row r="147" s="9" customFormat="1" ht="28.799999237060547" customHeight="1">
      <x:c r="A147" s="2" t="inlineStr">
        <x:is>
          <x:t xml:space="preserve">NVIDIA Quadro M4000</x:t>
        </x:is>
      </x:c>
      <x:c r="B147" s="2" t="str">
        <x:f>IFERROR(VLOOKUP(TRIM($A147),_classification_map!$A$2:$C$227,2,FALSE),"")</x:f>
        <x:v>Maxwell</x:v>
      </x:c>
      <x:c r="C147" s="2" t="str">
        <x:f>IFERROR(VLOOKUP(TRIM($A147),_classification_map!$A$2:$C$227,3,FALSE),"")</x:f>
        <x:v>Quadro</x:v>
      </x:c>
      <x:c r="D147" s="2" t="inlineStr">
        <x:is>
          <x:t xml:space="preserve">NVIDIA</x:t>
        </x:is>
      </x:c>
      <x:c r="E147" s="2" t="inlineStr">
        <x:is>
          <x:t xml:space="preserve">GPU</x:t>
        </x:is>
      </x:c>
      <x:c r="F147" s="2" t="n"/>
      <x:c r="G147" s="2" t="inlineStr">
        <x:is>
          <x:t xml:space="preserve">2015-06-29</x:t>
        </x:is>
      </x:c>
      <x:c r="H147" s="3" t="n"/>
      <x:c r="I147" s="4" t="n"/>
      <x:c r="J147" s="4" t="n"/>
      <x:c r="K147" s="4" t="n"/>
      <x:c r="L147" s="4" t="n">
        <x:v>8000000000</x:v>
      </x:c>
      <x:c r="M147" s="4" t="n">
        <x:v>192000000000</x:v>
      </x:c>
      <x:c r="N147" s="4" t="n"/>
      <x:c r="O147" s="4" t="n"/>
      <x:c r="P147" s="5" t="n">
        <x:v>120</x:v>
      </x:c>
      <x:c r="Q147" s="4" t="n">
        <x:v>80390000000</x:v>
      </x:c>
      <x:c r="R147" s="4" t="n">
        <x:v>2573000000000</x:v>
      </x:c>
      <x:c r="S147" s="4" t="n"/>
      <x:c r="T147" s="4" t="n"/>
      <x:c r="U147" s="4" t="n"/>
      <x:c r="V147" s="4" t="n"/>
      <x:c r="W147" s="4" t="n"/>
      <x:c r="X147" s="2" t="inlineStr">
        <x:is>
          <x:t xml:space="preserve">TSMC</x:t>
        </x:is>
      </x:c>
      <x:c r="Y147" s="5" t="n">
        <x:v>398</x:v>
      </x:c>
      <x:c r="Z147" s="5" t="n">
        <x:v>773</x:v>
      </x:c>
      <x:c r="AA147" s="5" t="n"/>
      <x:c r="AB147" s="5" t="n">
        <x:v>1502</x:v>
      </x:c>
      <x:c r="AC147" s="5" t="n">
        <x:v>256</x:v>
      </x:c>
      <x:c r="AD147" s="5" t="n"/>
      <x:c r="AE147" s="5" t="n">
        <x:v>28</x:v>
      </x:c>
      <x:c r="AF147" s="5" t="n">
        <x:v>5200</x:v>
      </x:c>
      <x:c r="AG147" s="2" t="inlineStr">
        <x:is>
          <x:t xml:space="preserve">https://www.techpowerup.com/gpu-specs/quadro-m4000.c2757</x:t>
        </x:is>
      </x:c>
      <x:c r="AH147" s="2" t="n"/>
      <x:c r="AI147" s="2" t="n"/>
      <x:c r="AJ147" s="2" t="inlineStr">
        <x:is>
          <x:t xml:space="preserve">2025-07-21 09:57:45+00:00</x:t>
        </x:is>
      </x:c>
      <x:c r="AK147" s="4" t="n">
        <x:v>2573000000000</x:v>
      </x:c>
      <x:c r="AL147" s="4" t="n">
        <x:v>21441666666.6667</x:v>
      </x:c>
      <x:c r="AM147" s="4" t="n">
        <x:v>82336000000000</x:v>
      </x:c>
      <x:c r="AN147" s="4" t="n"/>
      <x:c r="AO147" s="4" t="n">
        <x:v>2573000000000</x:v>
      </x:c>
    </x:row>
    <x:row r="148" s="9" customFormat="1" ht="72" customHeight="1">
      <x:c r="A148" s="2" t="inlineStr">
        <x:is>
          <x:t xml:space="preserve">AMD Instinct MI355X</x:t>
        </x:is>
      </x:c>
      <x:c r="B148" s="2" t="str">
        <x:f>IFERROR(VLOOKUP(TRIM($A148),_classification_map!$A$2:$C$227,2,FALSE),"")</x:f>
        <x:v>CDNA 4</x:v>
      </x:c>
      <x:c r="C148" s="2" t="str">
        <x:f>IFERROR(VLOOKUP(TRIM($A148),_classification_map!$A$2:$C$227,3,FALSE),"")</x:f>
        <x:v>Instinct MI350</x:v>
      </x:c>
      <x:c r="D148" s="2" t="inlineStr">
        <x:is>
          <x:t xml:space="preserve">AMD</x:t>
        </x:is>
      </x:c>
      <x:c r="E148" s="2" t="inlineStr">
        <x:is>
          <x:t xml:space="preserve">GPU</x:t>
        </x:is>
      </x:c>
      <x:c r="F148" s="2" t="inlineStr">
        <x:is>
          <x:t xml:space="preserve">release announcement (source for release date): https://www.tomshardware.com/pc-components/gpus/amd-announces-mi350x-and-mi355x-ai-gpus-claims-up-to-4x-generational-gain-up-to-35x-faster-inference-performance </x:t>
        </x:is>
      </x:c>
      <x:c r="G148" s="2" t="inlineStr">
        <x:is>
          <x:t xml:space="preserve">2025-06-12</x:t>
        </x:is>
      </x:c>
      <x:c r="H148" s="3" t="n"/>
      <x:c r="I148" s="4" t="n">
        <x:v>2516600000000000</x:v>
      </x:c>
      <x:c r="J148" s="4" t="n">
        <x:v>4600000000000000</x:v>
      </x:c>
      <x:c r="K148" s="4" t="n">
        <x:v>9200000000000000</x:v>
      </x:c>
      <x:c r="L148" s="4" t="n">
        <x:v>288000000000</x:v>
      </x:c>
      <x:c r="M148" s="4" t="n">
        <x:v>8000000000000</x:v>
      </x:c>
      <x:c r="N148" s="4" t="n"/>
      <x:c r="O148" s="4" t="n"/>
      <x:c r="P148" s="5" t="n">
        <x:v>1400</x:v>
      </x:c>
      <x:c r="Q148" s="4" t="n"/>
      <x:c r="R148" s="4" t="n"/>
      <x:c r="S148" s="4" t="n"/>
      <x:c r="T148" s="4" t="n">
        <x:v>2340000000000000</x:v>
      </x:c>
      <x:c r="U148" s="4" t="n"/>
      <x:c r="V148" s="4" t="n">
        <x:v>5033200000000000</x:v>
      </x:c>
      <x:c r="W148" s="4" t="n">
        <x:v>1.00663e+16</x:v>
      </x:c>
      <x:c r="X148" s="2" t="inlineStr">
        <x:is>
          <x:t xml:space="preserve">TSMC</x:t>
        </x:is>
      </x:c>
      <x:c r="Y148" s="5" t="n"/>
      <x:c r="Z148" s="5" t="n"/>
      <x:c r="AA148" s="5" t="n"/>
      <x:c r="AB148" s="5" t="n"/>
      <x:c r="AC148" s="5" t="n"/>
      <x:c r="AD148" s="5" t="n"/>
      <x:c r="AE148" s="5" t="n">
        <x:v>3</x:v>
      </x:c>
      <x:c r="AF148" s="5" t="n"/>
      <x:c r="AG148" s="2" t="inlineStr">
        <x:is>
          <x:t xml:space="preserve">https://www.amd.com/content/dam/amd/en/documents/instinct-tech-docs/product-briefs/amd-instinct-mi355x-gpu-brochure.pdf</x:t>
        </x:is>
      </x:c>
      <x:c r="AH148" s="2" t="n"/>
      <x:c r="AI148" s="2" t="n"/>
      <x:c r="AJ148" s="2" t="inlineStr">
        <x:is>
          <x:t xml:space="preserve">2025-11-05 20:59:45+00:00</x:t>
        </x:is>
      </x:c>
      <x:c r="AK148" s="4" t="n">
        <x:v>1.00663e+16</x:v>
      </x:c>
      <x:c r="AL148" s="4" t="n">
        <x:v>7190214285714.29</x:v>
      </x:c>
      <x:c r="AM148" s="4" t="n">
        <x:v>3.744e+16</x:v>
      </x:c>
      <x:c r="AN148" s="4" t="n"/>
      <x:c r="AO148" s="4" t="n">
        <x:v>5033200000000000</x:v>
      </x:c>
    </x:row>
    <x:row r="149" s="9" customFormat="1" ht="72" customHeight="1">
      <x:c r="A149" s="2" t="inlineStr">
        <x:is>
          <x:t xml:space="preserve">NVIDIA GeForce GTX TITAN X</x:t>
        </x:is>
      </x:c>
      <x:c r="B149" s="2" t="str">
        <x:f>IFERROR(VLOOKUP(TRIM($A149),_classification_map!$A$2:$C$227,2,FALSE),"")</x:f>
        <x:v>Maxwell</x:v>
      </x:c>
      <x:c r="C149" s="2" t="str">
        <x:f>IFERROR(VLOOKUP(TRIM($A149),_classification_map!$A$2:$C$227,3,FALSE),"")</x:f>
        <x:v>TITAN</x:v>
      </x:c>
      <x:c r="D149" s="2" t="inlineStr">
        <x:is>
          <x:t xml:space="preserve">NVIDIA</x:t>
        </x:is>
      </x:c>
      <x:c r="E149" s="2" t="inlineStr">
        <x:is>
          <x:t xml:space="preserve">GPU</x:t>
        </x:is>
      </x:c>
      <x:c r="F149" s="2" t="n"/>
      <x:c r="G149" s="2" t="inlineStr">
        <x:is>
          <x:t xml:space="preserve">2015-03-17</x:t>
        </x:is>
      </x:c>
      <x:c r="H149" s="3" t="n">
        <x:v>999</x:v>
      </x:c>
      <x:c r="I149" s="4" t="n"/>
      <x:c r="J149" s="4" t="n"/>
      <x:c r="K149" s="4" t="n"/>
      <x:c r="L149" s="4" t="n">
        <x:v>12000000000</x:v>
      </x:c>
      <x:c r="M149" s="4" t="n">
        <x:v>336600000000</x:v>
      </x:c>
      <x:c r="N149" s="4" t="n"/>
      <x:c r="O149" s="4" t="n"/>
      <x:c r="P149" s="5" t="n">
        <x:v>250</x:v>
      </x:c>
      <x:c r="Q149" s="4" t="n">
        <x:v>209100000000</x:v>
      </x:c>
      <x:c r="R149" s="4" t="n">
        <x:v>6691000000000</x:v>
      </x:c>
      <x:c r="S149" s="4" t="n"/>
      <x:c r="T149" s="4" t="n"/>
      <x:c r="U149" s="4" t="n"/>
      <x:c r="V149" s="4" t="n"/>
      <x:c r="W149" s="4" t="n"/>
      <x:c r="X149" s="2" t="inlineStr">
        <x:is>
          <x:t xml:space="preserve">TSMC</x:t>
        </x:is>
      </x:c>
      <x:c r="Y149" s="5" t="n">
        <x:v>601</x:v>
      </x:c>
      <x:c r="Z149" s="5" t="n">
        <x:v>1000</x:v>
      </x:c>
      <x:c r="AA149" s="5" t="n">
        <x:v>1089</x:v>
      </x:c>
      <x:c r="AB149" s="5" t="n">
        <x:v>1753</x:v>
      </x:c>
      <x:c r="AC149" s="5" t="n">
        <x:v>384</x:v>
      </x:c>
      <x:c r="AD149" s="5" t="n"/>
      <x:c r="AE149" s="5" t="n">
        <x:v>28</x:v>
      </x:c>
      <x:c r="AF149" s="5" t="n">
        <x:v>8000</x:v>
      </x:c>
      <x:c r="AG149" s="2" t="inlineStr">
        <x:is>
          <x:t xml:space="preserve">https://www.techpowerup.com/gpu-specs/geforce-gtx-titan-x.c2632</x:t>
        </x:is>
      </x:c>
      <x:c r="AH149" s="2" t="n"/>
      <x:c r="AI149" s="2" t="inlineStr">
        <x:is>
          <x:t xml:space="preserve">DeepSpeech2 (English),YOLOv3,Mono3D++,BIDAF,PolyNet,GELU for CIFAR-10,SSD,Part-of-sentence tagging model,Named Entity Recognition model,Graph-based Semi-Supervised Learning (GSSL) Model on MNIST,SAF R-CNN,DeepLoc</x:t>
        </x:is>
      </x:c>
      <x:c r="AJ149" s="2" t="inlineStr">
        <x:is>
          <x:t xml:space="preserve">2026-03-18 12:56:18+00:00</x:t>
        </x:is>
      </x:c>
      <x:c r="AK149" s="4" t="n">
        <x:v>6691000000000</x:v>
      </x:c>
      <x:c r="AL149" s="4" t="n">
        <x:v>26764000000</x:v>
      </x:c>
      <x:c r="AM149" s="4" t="n">
        <x:v>214112000000000</x:v>
      </x:c>
      <x:c r="AN149" s="4" t="n">
        <x:v>6697697697.6977</x:v>
      </x:c>
      <x:c r="AO149" s="4" t="n">
        <x:v>6691000000000</x:v>
      </x:c>
    </x:row>
    <x:row r="150" s="9" customFormat="1" ht="28.799999237060547" customHeight="1">
      <x:c r="A150" s="2" t="inlineStr">
        <x:is>
          <x:t xml:space="preserve">NVIDIA Quadro K1200</x:t>
        </x:is>
      </x:c>
      <x:c r="B150" s="2" t="str">
        <x:f>IFERROR(VLOOKUP(TRIM($A150),_classification_map!$A$2:$C$227,2,FALSE),"")</x:f>
        <x:v>Kepler</x:v>
      </x:c>
      <x:c r="C150" s="2" t="str">
        <x:f>IFERROR(VLOOKUP(TRIM($A150),_classification_map!$A$2:$C$227,3,FALSE),"")</x:f>
        <x:v>Quadro</x:v>
      </x:c>
      <x:c r="D150" s="2" t="inlineStr">
        <x:is>
          <x:t xml:space="preserve">NVIDIA</x:t>
        </x:is>
      </x:c>
      <x:c r="E150" s="2" t="inlineStr">
        <x:is>
          <x:t xml:space="preserve">GPU</x:t>
        </x:is>
      </x:c>
      <x:c r="F150" s="2" t="n"/>
      <x:c r="G150" s="2" t="inlineStr">
        <x:is>
          <x:t xml:space="preserve">2015-01-28</x:t>
        </x:is>
      </x:c>
      <x:c r="H150" s="3" t="n"/>
      <x:c r="I150" s="4" t="n"/>
      <x:c r="J150" s="4" t="n"/>
      <x:c r="K150" s="4" t="n"/>
      <x:c r="L150" s="4" t="n">
        <x:v>4000000000</x:v>
      </x:c>
      <x:c r="M150" s="4" t="n">
        <x:v>80000000000</x:v>
      </x:c>
      <x:c r="N150" s="4" t="n"/>
      <x:c r="O150" s="4" t="n"/>
      <x:c r="P150" s="5" t="n">
        <x:v>45</x:v>
      </x:c>
      <x:c r="Q150" s="4" t="n">
        <x:v>35970000000</x:v>
      </x:c>
      <x:c r="R150" s="4" t="n">
        <x:v>1151000000000</x:v>
      </x:c>
      <x:c r="S150" s="4" t="n"/>
      <x:c r="T150" s="4" t="n"/>
      <x:c r="U150" s="4" t="n"/>
      <x:c r="V150" s="4" t="n"/>
      <x:c r="W150" s="4" t="n"/>
      <x:c r="X150" s="2" t="inlineStr">
        <x:is>
          <x:t xml:space="preserve">TSMC</x:t>
        </x:is>
      </x:c>
      <x:c r="Y150" s="5" t="n">
        <x:v>148</x:v>
      </x:c>
      <x:c r="Z150" s="5" t="n">
        <x:v>1058</x:v>
      </x:c>
      <x:c r="AA150" s="5" t="n">
        <x:v>1124</x:v>
      </x:c>
      <x:c r="AB150" s="5" t="n">
        <x:v>1250</x:v>
      </x:c>
      <x:c r="AC150" s="5" t="n">
        <x:v>128</x:v>
      </x:c>
      <x:c r="AD150" s="5" t="n"/>
      <x:c r="AE150" s="5" t="n">
        <x:v>28</x:v>
      </x:c>
      <x:c r="AF150" s="5" t="n">
        <x:v>1870</x:v>
      </x:c>
      <x:c r="AG150" s="2" t="inlineStr">
        <x:is>
          <x:t xml:space="preserve">https://www.techpowerup.com/gpu-specs/quadro-k1200.c2641</x:t>
        </x:is>
      </x:c>
      <x:c r="AH150" s="2" t="n"/>
      <x:c r="AI150" s="2" t="n"/>
      <x:c r="AJ150" s="2" t="inlineStr">
        <x:is>
          <x:t xml:space="preserve">2025-07-21 09:58:24+00:00</x:t>
        </x:is>
      </x:c>
      <x:c r="AK150" s="4" t="n">
        <x:v>1151000000000</x:v>
      </x:c>
      <x:c r="AL150" s="4" t="n">
        <x:v>25577777777.7778</x:v>
      </x:c>
      <x:c r="AM150" s="4" t="n">
        <x:v>36832000000000</x:v>
      </x:c>
      <x:c r="AN150" s="4" t="n"/>
      <x:c r="AO150" s="4" t="n">
        <x:v>1151000000000</x:v>
      </x:c>
    </x:row>
    <x:row r="151" s="9" customFormat="1" ht="86.4000015258789" customHeight="1">
      <x:c r="A151" s="2" t="inlineStr">
        <x:is>
          <x:t xml:space="preserve">NVIDIA B100</x:t>
        </x:is>
      </x:c>
      <x:c r="B151" s="2" t="str">
        <x:f>IFERROR(VLOOKUP(TRIM($A151),_classification_map!$A$2:$C$227,2,FALSE),"")</x:f>
        <x:v>Blackwell</x:v>
      </x:c>
      <x:c r="C151" s="2" t="str">
        <x:f>IFERROR(VLOOKUP(TRIM($A151),_classification_map!$A$2:$C$227,3,FALSE),"")</x:f>
        <x:v>Datacenter B-series</x:v>
      </x:c>
      <x:c r="D151" s="2" t="inlineStr">
        <x:is>
          <x:t xml:space="preserve">NVIDIA</x:t>
        </x:is>
      </x:c>
      <x:c r="E151" s="2" t="inlineStr">
        <x:is>
          <x:t xml:space="preserve">GPU</x:t>
        </x:is>
      </x:c>
      <x:c r="F151" s="2" t="inlineStr">
        <x:is>
          <x:t xml:space="preserve">Listed performance figures are without sparsity.</x:t>
        </x:is>
      </x:c>
      <x:c r="G151" s="2" t="inlineStr">
        <x:is>
          <x:t xml:space="preserve">2024-11-15</x:t>
        </x:is>
      </x:c>
      <x:c r="H151" s="3" t="n">
        <x:v>35000</x:v>
      </x:c>
      <x:c r="I151" s="4" t="n">
        <x:v>1750000000000000</x:v>
      </x:c>
      <x:c r="J151" s="4" t="n">
        <x:v>3500000000000000</x:v>
      </x:c>
      <x:c r="K151" s="4" t="n">
        <x:v>7000000000000000</x:v>
      </x:c>
      <x:c r="L151" s="4" t="n">
        <x:v>192000000000</x:v>
      </x:c>
      <x:c r="M151" s="4" t="n">
        <x:v>8000000000000</x:v>
      </x:c>
      <x:c r="N151" s="4" t="n"/>
      <x:c r="O151" s="4" t="n"/>
      <x:c r="P151" s="5" t="n">
        <x:v>700</x:v>
      </x:c>
      <x:c r="Q151" s="4" t="n">
        <x:v>30000000000000</x:v>
      </x:c>
      <x:c r="R151" s="4" t="n"/>
      <x:c r="S151" s="4" t="n">
        <x:v>875000000000000</x:v>
      </x:c>
      <x:c r="T151" s="4" t="n"/>
      <x:c r="U151" s="4" t="n"/>
      <x:c r="V151" s="4" t="n">
        <x:v>3500000000000000</x:v>
      </x:c>
      <x:c r="W151" s="4" t="n"/>
      <x:c r="X151" s="2" t="n"/>
      <x:c r="Y151" s="5" t="n"/>
      <x:c r="Z151" s="5" t="n"/>
      <x:c r="AA151" s="5" t="n"/>
      <x:c r="AB151" s="5" t="n"/>
      <x:c r="AC151" s="5" t="n"/>
      <x:c r="AD151" s="5" t="n"/>
      <x:c r="AE151" s="5" t="n"/>
      <x:c r="AF151" s="5" t="n"/>
      <x:c r="AG151" s="2" t="inlineStr">
        <x:is>
          <x:t xml:space="preserve">https://www.anandtech.com/show/21310/nvidia-blackwell-architecture-and-b200b100-accelerators-announced-going-bigger-with-smaller-data
https://web.archive.org/web/20240809084215/https://www.hyperstack.cloud/nvidia-blackwell-b100</x:t>
        </x:is>
      </x:c>
      <x:c r="AH151" s="2" t="n"/>
      <x:c r="AI151" s="2" t="n"/>
      <x:c r="AJ151" s="2" t="inlineStr">
        <x:is>
          <x:t xml:space="preserve">2025-11-13 14:52:21+00:00</x:t>
        </x:is>
      </x:c>
      <x:c r="AK151" s="4" t="n">
        <x:v>3500000000000000</x:v>
      </x:c>
      <x:c r="AL151" s="4" t="n">
        <x:v>5000000000000</x:v>
      </x:c>
      <x:c r="AM151" s="4" t="n">
        <x:v>2.8e+16</x:v>
      </x:c>
      <x:c r="AN151" s="4" t="n">
        <x:v>100000000000</x:v>
      </x:c>
      <x:c r="AO151" s="4" t="n">
        <x:v>3500000000000000</x:v>
      </x:c>
    </x:row>
    <x:row r="152" s="9" customFormat="1" ht="28.799999237060547" customHeight="1">
      <x:c r="A152" s="2" t="inlineStr">
        <x:is>
          <x:t xml:space="preserve">NVIDIA GeForce GTX 980</x:t>
        </x:is>
      </x:c>
      <x:c r="B152" s="2" t="str">
        <x:f>IFERROR(VLOOKUP(TRIM($A152),_classification_map!$A$2:$C$227,2,FALSE),"")</x:f>
        <x:v>Maxwell</x:v>
      </x:c>
      <x:c r="C152" s="2" t="str">
        <x:f>IFERROR(VLOOKUP(TRIM($A152),_classification_map!$A$2:$C$227,3,FALSE),"")</x:f>
        <x:v>GeForce GTX</x:v>
      </x:c>
      <x:c r="D152" s="2" t="inlineStr">
        <x:is>
          <x:t xml:space="preserve">NVIDIA</x:t>
        </x:is>
      </x:c>
      <x:c r="E152" s="2" t="inlineStr">
        <x:is>
          <x:t xml:space="preserve">GPU</x:t>
        </x:is>
      </x:c>
      <x:c r="F152" s="2" t="n"/>
      <x:c r="G152" s="2" t="inlineStr">
        <x:is>
          <x:t xml:space="preserve">2014-09-19</x:t>
        </x:is>
      </x:c>
      <x:c r="H152" s="3" t="n">
        <x:v>549</x:v>
      </x:c>
      <x:c r="I152" s="4" t="n"/>
      <x:c r="J152" s="4" t="n"/>
      <x:c r="K152" s="4" t="n"/>
      <x:c r="L152" s="4" t="n">
        <x:v>4000000000</x:v>
      </x:c>
      <x:c r="M152" s="4" t="n">
        <x:v>224400000000</x:v>
      </x:c>
      <x:c r="N152" s="4" t="n"/>
      <x:c r="O152" s="4" t="n"/>
      <x:c r="P152" s="5" t="n">
        <x:v>165</x:v>
      </x:c>
      <x:c r="Q152" s="4" t="n">
        <x:v>155600000000</x:v>
      </x:c>
      <x:c r="R152" s="4" t="n">
        <x:v>4981000000000</x:v>
      </x:c>
      <x:c r="S152" s="4" t="n"/>
      <x:c r="T152" s="4" t="n"/>
      <x:c r="U152" s="4" t="n"/>
      <x:c r="V152" s="4" t="n"/>
      <x:c r="W152" s="4" t="n"/>
      <x:c r="X152" s="2" t="inlineStr">
        <x:is>
          <x:t xml:space="preserve">TSMC</x:t>
        </x:is>
      </x:c>
      <x:c r="Y152" s="5" t="n">
        <x:v>398</x:v>
      </x:c>
      <x:c r="Z152" s="5" t="n">
        <x:v>1127</x:v>
      </x:c>
      <x:c r="AA152" s="5" t="n">
        <x:v>1216</x:v>
      </x:c>
      <x:c r="AB152" s="5" t="n"/>
      <x:c r="AC152" s="5" t="n">
        <x:v>256</x:v>
      </x:c>
      <x:c r="AD152" s="5" t="n"/>
      <x:c r="AE152" s="5" t="n">
        <x:v>28</x:v>
      </x:c>
      <x:c r="AF152" s="5" t="n">
        <x:v>5200</x:v>
      </x:c>
      <x:c r="AG152" s="2" t="inlineStr">
        <x:is>
          <x:t xml:space="preserve">https://www.techpowerup.com/gpu-specs/geforce-gtx-980.c2621</x:t>
        </x:is>
      </x:c>
      <x:c r="AH152" s="2" t="n"/>
      <x:c r="AI152" s="2" t="inlineStr">
        <x:is>
          <x:t xml:space="preserve">SimpleNet</x:t>
        </x:is>
      </x:c>
      <x:c r="AJ152" s="2" t="inlineStr">
        <x:is>
          <x:t xml:space="preserve">2026-03-18 12:56:18+00:00</x:t>
        </x:is>
      </x:c>
      <x:c r="AK152" s="4" t="n">
        <x:v>4981000000000</x:v>
      </x:c>
      <x:c r="AL152" s="4" t="n">
        <x:v>30187878787.8788</x:v>
      </x:c>
      <x:c r="AM152" s="4" t="n">
        <x:v>159392000000000</x:v>
      </x:c>
      <x:c r="AN152" s="4" t="n">
        <x:v>9072859744.990891</x:v>
      </x:c>
      <x:c r="AO152" s="4" t="n">
        <x:v>4981000000000</x:v>
      </x:c>
    </x:row>
    <x:row r="153" s="9" customFormat="1" ht="28.799999237060547" customHeight="1">
      <x:c r="A153" s="2" t="inlineStr">
        <x:is>
          <x:t xml:space="preserve">NVIDIA GeForce GTX Titan Black</x:t>
        </x:is>
      </x:c>
      <x:c r="B153" s="2" t="str">
        <x:f>IFERROR(VLOOKUP(TRIM($A153),_classification_map!$A$2:$C$227,2,FALSE),"")</x:f>
        <x:v>Kepler</x:v>
      </x:c>
      <x:c r="C153" s="2" t="str">
        <x:f>IFERROR(VLOOKUP(TRIM($A153),_classification_map!$A$2:$C$227,3,FALSE),"")</x:f>
        <x:v>TITAN</x:v>
      </x:c>
      <x:c r="D153" s="2" t="inlineStr">
        <x:is>
          <x:t xml:space="preserve">NVIDIA</x:t>
        </x:is>
      </x:c>
      <x:c r="E153" s="2" t="inlineStr">
        <x:is>
          <x:t xml:space="preserve">GPU</x:t>
        </x:is>
      </x:c>
      <x:c r="F153" s="2" t="n"/>
      <x:c r="G153" s="2" t="inlineStr">
        <x:is>
          <x:t xml:space="preserve">2014-02-18</x:t>
        </x:is>
      </x:c>
      <x:c r="H153" s="3" t="n">
        <x:v>999</x:v>
      </x:c>
      <x:c r="I153" s="4" t="n"/>
      <x:c r="J153" s="4" t="n"/>
      <x:c r="K153" s="4" t="n"/>
      <x:c r="L153" s="4" t="n">
        <x:v>6000000000</x:v>
      </x:c>
      <x:c r="M153" s="4" t="n">
        <x:v>336000000000</x:v>
      </x:c>
      <x:c r="N153" s="4" t="n"/>
      <x:c r="O153" s="4" t="n"/>
      <x:c r="P153" s="5" t="n">
        <x:v>250</x:v>
      </x:c>
      <x:c r="Q153" s="4" t="n">
        <x:v>1882000000000</x:v>
      </x:c>
      <x:c r="R153" s="4" t="n">
        <x:v>5645000000000</x:v>
      </x:c>
      <x:c r="S153" s="4" t="n"/>
      <x:c r="T153" s="4" t="n"/>
      <x:c r="U153" s="4" t="n"/>
      <x:c r="V153" s="4" t="n"/>
      <x:c r="W153" s="4" t="n"/>
      <x:c r="X153" s="2" t="inlineStr">
        <x:is>
          <x:t xml:space="preserve">TSMC</x:t>
        </x:is>
      </x:c>
      <x:c r="Y153" s="5" t="n">
        <x:v>561</x:v>
      </x:c>
      <x:c r="Z153" s="5" t="n">
        <x:v>889</x:v>
      </x:c>
      <x:c r="AA153" s="5" t="n">
        <x:v>980</x:v>
      </x:c>
      <x:c r="AB153" s="5" t="n">
        <x:v>1750</x:v>
      </x:c>
      <x:c r="AC153" s="5" t="n">
        <x:v>384</x:v>
      </x:c>
      <x:c r="AD153" s="5" t="n"/>
      <x:c r="AE153" s="5" t="n">
        <x:v>28</x:v>
      </x:c>
      <x:c r="AF153" s="5" t="n">
        <x:v>7080</x:v>
      </x:c>
      <x:c r="AG153" s="2" t="inlineStr">
        <x:is>
          <x:t xml:space="preserve">https://www.techpowerup.com/gpu-specs/geforce-gtx-titan-black.c2549</x:t>
        </x:is>
      </x:c>
      <x:c r="AH153" s="2" t="inlineStr">
        <x:is>
          <x:t xml:space="preserve">https://www.techpowerup.com/gpu-specs/geforce-gtx-titan-black.c2549</x:t>
        </x:is>
      </x:c>
      <x:c r="AI153" s="2" t="inlineStr">
        <x:is>
          <x:t xml:space="preserve">VGG16,VGG-Face</x:t>
        </x:is>
      </x:c>
      <x:c r="AJ153" s="2" t="inlineStr">
        <x:is>
          <x:t xml:space="preserve">2026-03-18 12:56:18+00:00</x:t>
        </x:is>
      </x:c>
      <x:c r="AK153" s="4" t="n">
        <x:v>5645000000000</x:v>
      </x:c>
      <x:c r="AL153" s="4" t="n">
        <x:v>22580000000</x:v>
      </x:c>
      <x:c r="AM153" s="4" t="n">
        <x:v>180640000000000</x:v>
      </x:c>
      <x:c r="AN153" s="4" t="n">
        <x:v>5650650650.65065</x:v>
      </x:c>
      <x:c r="AO153" s="4" t="n">
        <x:v>5645000000000</x:v>
      </x:c>
    </x:row>
    <x:row r="154" s="9" customFormat="1" ht="72" customHeight="1">
      <x:c r="A154" s="2" t="inlineStr">
        <x:is>
          <x:t xml:space="preserve">AMD Instinct MI350X</x:t>
        </x:is>
      </x:c>
      <x:c r="B154" s="2" t="str">
        <x:f>IFERROR(VLOOKUP(TRIM($A154),_classification_map!$A$2:$C$227,2,FALSE),"")</x:f>
        <x:v>CDNA 4</x:v>
      </x:c>
      <x:c r="C154" s="2" t="str">
        <x:f>IFERROR(VLOOKUP(TRIM($A154),_classification_map!$A$2:$C$227,3,FALSE),"")</x:f>
        <x:v>Instinct MI350</x:v>
      </x:c>
      <x:c r="D154" s="2" t="inlineStr">
        <x:is>
          <x:t xml:space="preserve">AMD</x:t>
        </x:is>
      </x:c>
      <x:c r="E154" s="2" t="inlineStr">
        <x:is>
          <x:t xml:space="preserve">GPU</x:t>
        </x:is>
      </x:c>
      <x:c r="F154" s="2" t="inlineStr">
        <x:is>
          <x:t xml:space="preserve">release announcement (source for release date): https://www.tomshardware.com/pc-components/gpus/amd-announces-mi350x-and-mi355x-ai-gpus-claims-up-to-4x-generational-gain-up-to-35x-faster-inference-performance </x:t>
        </x:is>
      </x:c>
      <x:c r="G154" s="2" t="inlineStr">
        <x:is>
          <x:t xml:space="preserve">2025-06-12</x:t>
        </x:is>
      </x:c>
      <x:c r="H154" s="3" t="n"/>
      <x:c r="I154" s="4" t="n">
        <x:v>2309600000000000</x:v>
      </x:c>
      <x:c r="J154" s="4" t="n">
        <x:v>4600000000000000</x:v>
      </x:c>
      <x:c r="K154" s="4" t="n">
        <x:v>9200000000000000</x:v>
      </x:c>
      <x:c r="L154" s="4" t="n">
        <x:v>288000000000</x:v>
      </x:c>
      <x:c r="M154" s="4" t="n">
        <x:v>8000000000000</x:v>
      </x:c>
      <x:c r="N154" s="4" t="n"/>
      <x:c r="O154" s="4" t="n"/>
      <x:c r="P154" s="5" t="n">
        <x:v>1000</x:v>
      </x:c>
      <x:c r="Q154" s="4" t="n"/>
      <x:c r="R154" s="4" t="n"/>
      <x:c r="S154" s="4" t="n"/>
      <x:c r="T154" s="4" t="n">
        <x:v>2340000000000000</x:v>
      </x:c>
      <x:c r="U154" s="4" t="n"/>
      <x:c r="V154" s="4" t="n">
        <x:v>4614000000000000</x:v>
      </x:c>
      <x:c r="W154" s="4" t="n">
        <x:v>9227500000000000</x:v>
      </x:c>
      <x:c r="X154" s="2" t="inlineStr">
        <x:is>
          <x:t xml:space="preserve">TSMC</x:t>
        </x:is>
      </x:c>
      <x:c r="Y154" s="5" t="n"/>
      <x:c r="Z154" s="5" t="n"/>
      <x:c r="AA154" s="5" t="n"/>
      <x:c r="AB154" s="5" t="n"/>
      <x:c r="AC154" s="5" t="n"/>
      <x:c r="AD154" s="5" t="n"/>
      <x:c r="AE154" s="5" t="n">
        <x:v>3</x:v>
      </x:c>
      <x:c r="AF154" s="5" t="n"/>
      <x:c r="AG154" s="2" t="inlineStr">
        <x:is>
          <x:t xml:space="preserve">https://www.amd.com/content/dam/amd/en/documents/instinct-tech-docs/product-briefs/amd-instinct-mi350x-gpu-brochure.pdf </x:t>
        </x:is>
      </x:c>
      <x:c r="AH154" s="2" t="n"/>
      <x:c r="AI154" s="2" t="n"/>
      <x:c r="AJ154" s="2" t="inlineStr">
        <x:is>
          <x:t xml:space="preserve">2025-11-05 20:57:17+00:00</x:t>
        </x:is>
      </x:c>
      <x:c r="AK154" s="4" t="n">
        <x:v>9227500000000000</x:v>
      </x:c>
      <x:c r="AL154" s="4" t="n">
        <x:v>9227500000000</x:v>
      </x:c>
      <x:c r="AM154" s="4" t="n">
        <x:v>3.744e+16</x:v>
      </x:c>
      <x:c r="AN154" s="4" t="n"/>
      <x:c r="AO154" s="4" t="n">
        <x:v>4614000000000000</x:v>
      </x:c>
    </x:row>
    <x:row r="155" s="9" customFormat="1" ht="57.599998474121094" customHeight="1">
      <x:c r="A155" s="2" t="inlineStr">
        <x:is>
          <x:t xml:space="preserve">Huawei Ascend 960</x:t>
        </x:is>
      </x:c>
      <x:c r="B155" s="2" t="str">
        <x:f>IFERROR(VLOOKUP(TRIM($A155),_classification_map!$A$2:$C$227,2,FALSE),"")</x:f>
        <x:v>Ascend 960</x:v>
      </x:c>
      <x:c r="C155" s="2" t="str">
        <x:f>IFERROR(VLOOKUP(TRIM($A155),_classification_map!$A$2:$C$227,3,FALSE),"")</x:f>
        <x:v>Ascend</x:v>
      </x:c>
      <x:c r="D155" s="2" t="inlineStr">
        <x:is>
          <x:t xml:space="preserve">Huawei</x:t>
        </x:is>
      </x:c>
      <x:c r="E155" s="2" t="inlineStr">
        <x:is>
          <x:t xml:space="preserve">NPU</x:t>
        </x:is>
      </x:c>
      <x:c r="F155" s="2" t="n"/>
      <x:c r="G155" s="2" t="n"/>
      <x:c r="H155" s="3" t="n"/>
      <x:c r="I155" s="4" t="n"/>
      <x:c r="J155" s="4" t="n">
        <x:v>2000000000000000</x:v>
      </x:c>
      <x:c r="K155" s="4" t="n">
        <x:v>4000000000000000</x:v>
      </x:c>
      <x:c r="L155" s="4" t="n"/>
      <x:c r="M155" s="4" t="n">
        <x:v>9600000000000</x:v>
      </x:c>
      <x:c r="N155" s="4" t="n"/>
      <x:c r="O155" s="4" t="n">
        <x:v>2200000000000</x:v>
      </x:c>
      <x:c r="P155" s="5" t="n"/>
      <x:c r="Q155" s="4" t="n"/>
      <x:c r="R155" s="4" t="n"/>
      <x:c r="S155" s="4" t="n"/>
      <x:c r="T155" s="4" t="n"/>
      <x:c r="U155" s="4" t="n"/>
      <x:c r="V155" s="4" t="n"/>
      <x:c r="W155" s="4" t="n"/>
      <x:c r="X155" s="2" t="n"/>
      <x:c r="Y155" s="5" t="n"/>
      <x:c r="Z155" s="5" t="n"/>
      <x:c r="AA155" s="5" t="n"/>
      <x:c r="AB155" s="5" t="n"/>
      <x:c r="AC155" s="5" t="n"/>
      <x:c r="AD155" s="5" t="n"/>
      <x:c r="AE155" s="5" t="n"/>
      <x:c r="AF155" s="5" t="n"/>
      <x:c r="AG155" s="2" t="inlineStr">
        <x:is>
          <x:t xml:space="preserve">https://www.huawei.com/en/news/2025/9/hc-xu-keynote-speech
https://www.huaweicentral.com/huawei-reveals-3-year-ascend-ai-chip-roadmap-950-coming-in-2026/</x:t>
        </x:is>
      </x:c>
      <x:c r="AH155" s="2" t="n"/>
      <x:c r="AI155" s="2" t="n"/>
      <x:c r="AJ155" s="2" t="inlineStr">
        <x:is>
          <x:t xml:space="preserve">2025-10-14 14:16:16+00:00</x:t>
        </x:is>
      </x:c>
      <x:c r="AK155" s="4" t="n">
        <x:v>0</x:v>
      </x:c>
      <x:c r="AL155" s="4" t="n"/>
      <x:c r="AM155" s="4" t="n"/>
      <x:c r="AN155" s="4" t="n"/>
      <x:c r="AO155" s="4" t="n">
        <x:v>2000000000000000</x:v>
      </x:c>
    </x:row>
    <x:row r="156" s="9" customFormat="1" ht="28.799999237060547" customHeight="1">
      <x:c r="A156" s="2" t="inlineStr">
        <x:is>
          <x:t xml:space="preserve">NVIDIA Quadro K6000</x:t>
        </x:is>
      </x:c>
      <x:c r="B156" s="2" t="str">
        <x:f>IFERROR(VLOOKUP(TRIM($A156),_classification_map!$A$2:$C$227,2,FALSE),"")</x:f>
        <x:v>Kepler</x:v>
      </x:c>
      <x:c r="C156" s="2" t="str">
        <x:f>IFERROR(VLOOKUP(TRIM($A156),_classification_map!$A$2:$C$227,3,FALSE),"")</x:f>
        <x:v>Quadro</x:v>
      </x:c>
      <x:c r="D156" s="2" t="inlineStr">
        <x:is>
          <x:t xml:space="preserve">NVIDIA</x:t>
        </x:is>
      </x:c>
      <x:c r="E156" s="2" t="inlineStr">
        <x:is>
          <x:t xml:space="preserve">GPU</x:t>
        </x:is>
      </x:c>
      <x:c r="F156" s="2" t="n"/>
      <x:c r="G156" s="2" t="inlineStr">
        <x:is>
          <x:t xml:space="preserve">2013-07-23</x:t>
        </x:is>
      </x:c>
      <x:c r="H156" s="3" t="n">
        <x:v>5265</x:v>
      </x:c>
      <x:c r="I156" s="4" t="n"/>
      <x:c r="J156" s="4" t="n"/>
      <x:c r="K156" s="4" t="n"/>
      <x:c r="L156" s="4" t="n">
        <x:v>12000000000</x:v>
      </x:c>
      <x:c r="M156" s="4" t="n">
        <x:v>288000000000</x:v>
      </x:c>
      <x:c r="N156" s="4" t="n"/>
      <x:c r="O156" s="4" t="n"/>
      <x:c r="P156" s="5" t="n">
        <x:v>225</x:v>
      </x:c>
      <x:c r="Q156" s="4" t="n">
        <x:v>1732000000000</x:v>
      </x:c>
      <x:c r="R156" s="4" t="n">
        <x:v>5196000000000</x:v>
      </x:c>
      <x:c r="S156" s="4" t="n"/>
      <x:c r="T156" s="4" t="n"/>
      <x:c r="U156" s="4" t="n"/>
      <x:c r="V156" s="4" t="n"/>
      <x:c r="W156" s="4" t="n"/>
      <x:c r="X156" s="2" t="inlineStr">
        <x:is>
          <x:t xml:space="preserve">TSMC</x:t>
        </x:is>
      </x:c>
      <x:c r="Y156" s="5" t="n">
        <x:v>561</x:v>
      </x:c>
      <x:c r="Z156" s="5" t="n">
        <x:v>797</x:v>
      </x:c>
      <x:c r="AA156" s="5" t="n">
        <x:v>902</x:v>
      </x:c>
      <x:c r="AB156" s="5" t="n">
        <x:v>1502</x:v>
      </x:c>
      <x:c r="AC156" s="5" t="n">
        <x:v>384</x:v>
      </x:c>
      <x:c r="AD156" s="5" t="n"/>
      <x:c r="AE156" s="5" t="n">
        <x:v>28</x:v>
      </x:c>
      <x:c r="AF156" s="5" t="n">
        <x:v>7080</x:v>
      </x:c>
      <x:c r="AG156" s="2" t="inlineStr">
        <x:is>
          <x:t xml:space="preserve">https://www.techpowerup.com/gpu-specs/quadro-k6000.c2426</x:t>
        </x:is>
      </x:c>
      <x:c r="AH156" s="2" t="inlineStr">
        <x:is>
          <x:t xml:space="preserve">https://www.techpowerup.com/gpu-specs/quadro-k6000.c2426</x:t>
        </x:is>
      </x:c>
      <x:c r="AI156" s="2" t="inlineStr">
        <x:is>
          <x:t xml:space="preserve">RNNsearch-50*</x:t>
        </x:is>
      </x:c>
      <x:c r="AJ156" s="2" t="inlineStr">
        <x:is>
          <x:t xml:space="preserve">2026-03-18 12:56:18+00:00</x:t>
        </x:is>
      </x:c>
      <x:c r="AK156" s="4" t="n">
        <x:v>5196000000000</x:v>
      </x:c>
      <x:c r="AL156" s="4" t="n">
        <x:v>23093333333.3333</x:v>
      </x:c>
      <x:c r="AM156" s="4" t="n">
        <x:v>166272000000000</x:v>
      </x:c>
      <x:c r="AN156" s="4" t="n">
        <x:v>986894586.894587</x:v>
      </x:c>
      <x:c r="AO156" s="4" t="n">
        <x:v>5196000000000</x:v>
      </x:c>
    </x:row>
    <x:row r="157" s="9" customFormat="1" ht="28.799999237060547" customHeight="1">
      <x:c r="A157" s="2" t="inlineStr">
        <x:is>
          <x:t xml:space="preserve">NVIDIA GeForce GTX 780</x:t>
        </x:is>
      </x:c>
      <x:c r="B157" s="2" t="str">
        <x:f>IFERROR(VLOOKUP(TRIM($A157),_classification_map!$A$2:$C$227,2,FALSE),"")</x:f>
        <x:v>Kepler</x:v>
      </x:c>
      <x:c r="C157" s="2" t="str">
        <x:f>IFERROR(VLOOKUP(TRIM($A157),_classification_map!$A$2:$C$227,3,FALSE),"")</x:f>
        <x:v>GeForce GTX</x:v>
      </x:c>
      <x:c r="D157" s="2" t="inlineStr">
        <x:is>
          <x:t xml:space="preserve">NVIDIA</x:t>
        </x:is>
      </x:c>
      <x:c r="E157" s="2" t="inlineStr">
        <x:is>
          <x:t xml:space="preserve">GPU</x:t>
        </x:is>
      </x:c>
      <x:c r="F157" s="2" t="n"/>
      <x:c r="G157" s="2" t="inlineStr">
        <x:is>
          <x:t xml:space="preserve">2013-05-23</x:t>
        </x:is>
      </x:c>
      <x:c r="H157" s="3" t="n">
        <x:v>649</x:v>
      </x:c>
      <x:c r="I157" s="4" t="n"/>
      <x:c r="J157" s="4" t="n"/>
      <x:c r="K157" s="4" t="n"/>
      <x:c r="L157" s="4" t="n">
        <x:v>3000000000</x:v>
      </x:c>
      <x:c r="M157" s="4" t="n">
        <x:v>288400000000</x:v>
      </x:c>
      <x:c r="N157" s="4" t="n"/>
      <x:c r="O157" s="4" t="n"/>
      <x:c r="P157" s="5" t="n">
        <x:v>250</x:v>
      </x:c>
      <x:c r="Q157" s="4" t="n">
        <x:v>173200000000</x:v>
      </x:c>
      <x:c r="R157" s="4" t="n">
        <x:v>4156000000000</x:v>
      </x:c>
      <x:c r="S157" s="4" t="n"/>
      <x:c r="T157" s="4" t="n"/>
      <x:c r="U157" s="4" t="n"/>
      <x:c r="V157" s="4" t="n"/>
      <x:c r="W157" s="4" t="n"/>
      <x:c r="X157" s="2" t="inlineStr">
        <x:is>
          <x:t xml:space="preserve">TSMC</x:t>
        </x:is>
      </x:c>
      <x:c r="Y157" s="5" t="n">
        <x:v>561</x:v>
      </x:c>
      <x:c r="Z157" s="5" t="n">
        <x:v>863</x:v>
      </x:c>
      <x:c r="AA157" s="5" t="n">
        <x:v>902</x:v>
      </x:c>
      <x:c r="AB157" s="5" t="n"/>
      <x:c r="AC157" s="5" t="n">
        <x:v>384</x:v>
      </x:c>
      <x:c r="AD157" s="5" t="n"/>
      <x:c r="AE157" s="5" t="n">
        <x:v>28</x:v>
      </x:c>
      <x:c r="AF157" s="5" t="n">
        <x:v>7080</x:v>
      </x:c>
      <x:c r="AG157" s="2" t="inlineStr">
        <x:is>
          <x:t xml:space="preserve">https://www.techpowerup.com/gpu-specs/geforce-gtx-780.c1701</x:t>
        </x:is>
      </x:c>
      <x:c r="AH157" s="2" t="n"/>
      <x:c r="AI157" s="2" t="inlineStr">
        <x:is>
          <x:t xml:space="preserve">Fractional Max-Pooling</x:t>
        </x:is>
      </x:c>
      <x:c r="AJ157" s="2" t="inlineStr">
        <x:is>
          <x:t xml:space="preserve">2026-03-18 12:56:18+00:00</x:t>
        </x:is>
      </x:c>
      <x:c r="AK157" s="4" t="n">
        <x:v>4156000000000</x:v>
      </x:c>
      <x:c r="AL157" s="4" t="n">
        <x:v>16624000000</x:v>
      </x:c>
      <x:c r="AM157" s="4" t="n">
        <x:v>132992000000000</x:v>
      </x:c>
      <x:c r="AN157" s="4" t="n">
        <x:v>6403697996.91834</x:v>
      </x:c>
      <x:c r="AO157" s="4" t="n">
        <x:v>4156000000000</x:v>
      </x:c>
    </x:row>
    <x:row r="158" s="9" customFormat="1" ht="28.799999237060547" customHeight="1">
      <x:c r="A158" s="2" t="inlineStr">
        <x:is>
          <x:t xml:space="preserve">NVIDIA Quadro K4000</x:t>
        </x:is>
      </x:c>
      <x:c r="B158" s="2" t="str">
        <x:f>IFERROR(VLOOKUP(TRIM($A158),_classification_map!$A$2:$C$227,2,FALSE),"")</x:f>
        <x:v>Kepler</x:v>
      </x:c>
      <x:c r="C158" s="2" t="str">
        <x:f>IFERROR(VLOOKUP(TRIM($A158),_classification_map!$A$2:$C$227,3,FALSE),"")</x:f>
        <x:v>Quadro</x:v>
      </x:c>
      <x:c r="D158" s="2" t="inlineStr">
        <x:is>
          <x:t xml:space="preserve">NVIDIA</x:t>
        </x:is>
      </x:c>
      <x:c r="E158" s="2" t="inlineStr">
        <x:is>
          <x:t xml:space="preserve">GPU</x:t>
        </x:is>
      </x:c>
      <x:c r="F158" s="2" t="n"/>
      <x:c r="G158" s="2" t="inlineStr">
        <x:is>
          <x:t xml:space="preserve">2013-03-01</x:t>
        </x:is>
      </x:c>
      <x:c r="H158" s="3" t="n">
        <x:v>1269</x:v>
      </x:c>
      <x:c r="I158" s="4" t="n"/>
      <x:c r="J158" s="4" t="n"/>
      <x:c r="K158" s="4" t="n"/>
      <x:c r="L158" s="4" t="n">
        <x:v>3000000000</x:v>
      </x:c>
      <x:c r="M158" s="4" t="n">
        <x:v>134800000000</x:v>
      </x:c>
      <x:c r="N158" s="4" t="n"/>
      <x:c r="O158" s="4" t="n"/>
      <x:c r="P158" s="5" t="n">
        <x:v>80</x:v>
      </x:c>
      <x:c r="Q158" s="4" t="n">
        <x:v>51840000000</x:v>
      </x:c>
      <x:c r="R158" s="4" t="n">
        <x:v>1244000000000</x:v>
      </x:c>
      <x:c r="S158" s="4" t="n"/>
      <x:c r="T158" s="4" t="n"/>
      <x:c r="U158" s="4" t="n"/>
      <x:c r="V158" s="4" t="n"/>
      <x:c r="W158" s="4" t="n"/>
      <x:c r="X158" s="2" t="inlineStr">
        <x:is>
          <x:t xml:space="preserve">TSMC</x:t>
        </x:is>
      </x:c>
      <x:c r="Y158" s="5" t="n">
        <x:v>221</x:v>
      </x:c>
      <x:c r="Z158" s="5" t="n">
        <x:v>810</x:v>
      </x:c>
      <x:c r="AA158" s="5" t="n"/>
      <x:c r="AB158" s="5" t="n"/>
      <x:c r="AC158" s="5" t="n">
        <x:v>192</x:v>
      </x:c>
      <x:c r="AD158" s="5" t="n"/>
      <x:c r="AE158" s="5" t="n">
        <x:v>28</x:v>
      </x:c>
      <x:c r="AF158" s="5" t="n">
        <x:v>2540</x:v>
      </x:c>
      <x:c r="AG158" s="2" t="inlineStr">
        <x:is>
          <x:t xml:space="preserve">https://www.techpowerup.com/gpu-specs/quadro-k4000.c1841</x:t>
        </x:is>
      </x:c>
      <x:c r="AH158" s="2" t="inlineStr">
        <x:is>
          <x:t xml:space="preserve">https://videocardz.net/nvidia-quadro-k4000</x:t>
        </x:is>
      </x:c>
      <x:c r="AI158" s="2" t="inlineStr">
        <x:is>
          <x:t xml:space="preserve">Attend-Infer-Repeat</x:t>
        </x:is>
      </x:c>
      <x:c r="AJ158" s="2" t="inlineStr">
        <x:is>
          <x:t xml:space="preserve">2026-03-18 12:56:18+00:00</x:t>
        </x:is>
      </x:c>
      <x:c r="AK158" s="4" t="n">
        <x:v>1244000000000</x:v>
      </x:c>
      <x:c r="AL158" s="4" t="n">
        <x:v>15550000000</x:v>
      </x:c>
      <x:c r="AM158" s="4" t="n">
        <x:v>39808000000000</x:v>
      </x:c>
      <x:c r="AN158" s="4" t="n">
        <x:v>980299448.384555</x:v>
      </x:c>
      <x:c r="AO158" s="4" t="n">
        <x:v>1244000000000</x:v>
      </x:c>
    </x:row>
    <x:row r="159" s="9" customFormat="1" ht="28.799999237060547" customHeight="1">
      <x:c r="A159" s="2" t="inlineStr">
        <x:is>
          <x:t xml:space="preserve">NVIDIA GeForce GTX TITAN</x:t>
        </x:is>
      </x:c>
      <x:c r="B159" s="2" t="str">
        <x:f>IFERROR(VLOOKUP(TRIM($A159),_classification_map!$A$2:$C$227,2,FALSE),"")</x:f>
        <x:v>Kepler</x:v>
      </x:c>
      <x:c r="C159" s="2" t="str">
        <x:f>IFERROR(VLOOKUP(TRIM($A159),_classification_map!$A$2:$C$227,3,FALSE),"")</x:f>
        <x:v>TITAN</x:v>
      </x:c>
      <x:c r="D159" s="2" t="inlineStr">
        <x:is>
          <x:t xml:space="preserve">NVIDIA</x:t>
        </x:is>
      </x:c>
      <x:c r="E159" s="2" t="inlineStr">
        <x:is>
          <x:t xml:space="preserve">GPU</x:t>
        </x:is>
      </x:c>
      <x:c r="F159" s="2" t="n"/>
      <x:c r="G159" s="2" t="inlineStr">
        <x:is>
          <x:t xml:space="preserve">2013-02-19</x:t>
        </x:is>
      </x:c>
      <x:c r="H159" s="3" t="n">
        <x:v>999</x:v>
      </x:c>
      <x:c r="I159" s="4" t="n"/>
      <x:c r="J159" s="4" t="n"/>
      <x:c r="K159" s="4" t="n"/>
      <x:c r="L159" s="4" t="n">
        <x:v>6000000000</x:v>
      </x:c>
      <x:c r="M159" s="4" t="n">
        <x:v>288400000000</x:v>
      </x:c>
      <x:c r="N159" s="4" t="n"/>
      <x:c r="O159" s="4" t="n"/>
      <x:c r="P159" s="5" t="n">
        <x:v>250</x:v>
      </x:c>
      <x:c r="Q159" s="4" t="n">
        <x:v>1570000000000</x:v>
      </x:c>
      <x:c r="R159" s="4" t="n">
        <x:v>4709000000000</x:v>
      </x:c>
      <x:c r="S159" s="4" t="n"/>
      <x:c r="T159" s="4" t="n"/>
      <x:c r="U159" s="4" t="n"/>
      <x:c r="V159" s="4" t="n"/>
      <x:c r="W159" s="4" t="n"/>
      <x:c r="X159" s="2" t="inlineStr">
        <x:is>
          <x:t xml:space="preserve">TSMC</x:t>
        </x:is>
      </x:c>
      <x:c r="Y159" s="5" t="n">
        <x:v>561</x:v>
      </x:c>
      <x:c r="Z159" s="5" t="n">
        <x:v>836</x:v>
      </x:c>
      <x:c r="AA159" s="5" t="n">
        <x:v>876</x:v>
      </x:c>
      <x:c r="AB159" s="5" t="n"/>
      <x:c r="AC159" s="5" t="n">
        <x:v>384</x:v>
      </x:c>
      <x:c r="AD159" s="5" t="n"/>
      <x:c r="AE159" s="5" t="n">
        <x:v>28</x:v>
      </x:c>
      <x:c r="AF159" s="5" t="n">
        <x:v>7080</x:v>
      </x:c>
      <x:c r="AG159" s="2" t="inlineStr">
        <x:is>
          <x:t xml:space="preserve">https://www.techpowerup.com/gpu-specs/geforce-gtx-titan.c1996</x:t>
        </x:is>
      </x:c>
      <x:c r="AH159" s="2" t="n"/>
      <x:c r="AI159" s="2" t="inlineStr">
        <x:is>
          <x:t xml:space="preserve">SPPNet</x:t>
        </x:is>
      </x:c>
      <x:c r="AJ159" s="2" t="inlineStr">
        <x:is>
          <x:t xml:space="preserve">2026-03-18 12:56:18+00:00</x:t>
        </x:is>
      </x:c>
      <x:c r="AK159" s="4" t="n">
        <x:v>4709000000000</x:v>
      </x:c>
      <x:c r="AL159" s="4" t="n">
        <x:v>18836000000</x:v>
      </x:c>
      <x:c r="AM159" s="4" t="n">
        <x:v>150688000000000</x:v>
      </x:c>
      <x:c r="AN159" s="4" t="n">
        <x:v>4713713713.71371</x:v>
      </x:c>
      <x:c r="AO159" s="4" t="n">
        <x:v>4709000000000</x:v>
      </x:c>
    </x:row>
    <x:row r="160" s="9" customFormat="1" ht="28.799999237060547" customHeight="1">
      <x:c r="A160" s="2" t="inlineStr">
        <x:is>
          <x:t xml:space="preserve">Tesla D1 Dojo</x:t>
        </x:is>
      </x:c>
      <x:c r="B160" s="2" t="str">
        <x:f>IFERROR(VLOOKUP(TRIM($A160),_classification_map!$A$2:$C$227,2,FALSE),"")</x:f>
        <x:v>D1</x:v>
      </x:c>
      <x:c r="C160" s="2" t="str">
        <x:f>IFERROR(VLOOKUP(TRIM($A160),_classification_map!$A$2:$C$227,3,FALSE),"")</x:f>
        <x:v>Dojo</x:v>
      </x:c>
      <x:c r="D160" s="2" t="inlineStr">
        <x:is>
          <x:t xml:space="preserve">Tesla</x:t>
        </x:is>
      </x:c>
      <x:c r="E160" s="2" t="inlineStr">
        <x:is>
          <x:t xml:space="preserve">GPU</x:t>
        </x:is>
      </x:c>
      <x:c r="F160" s="2" t="n"/>
      <x:c r="G160" s="2" t="inlineStr">
        <x:is>
          <x:t xml:space="preserve">2021-08-21</x:t>
        </x:is>
      </x:c>
      <x:c r="H160" s="3" t="n"/>
      <x:c r="I160" s="4" t="n">
        <x:v>362000000000000</x:v>
      </x:c>
      <x:c r="J160" s="4" t="n"/>
      <x:c r="K160" s="4" t="n"/>
      <x:c r="L160" s="4" t="n"/>
      <x:c r="M160" s="4" t="n">
        <x:v>10000000000000</x:v>
      </x:c>
      <x:c r="N160" s="4" t="n"/>
      <x:c r="O160" s="4" t="n"/>
      <x:c r="P160" s="5" t="n">
        <x:v>400</x:v>
      </x:c>
      <x:c r="Q160" s="4" t="n"/>
      <x:c r="R160" s="4" t="n">
        <x:v>22600000000000</x:v>
      </x:c>
      <x:c r="S160" s="4" t="n"/>
      <x:c r="T160" s="4" t="n"/>
      <x:c r="U160" s="4" t="n"/>
      <x:c r="V160" s="4" t="n"/>
      <x:c r="W160" s="4" t="n"/>
      <x:c r="X160" s="2" t="inlineStr">
        <x:is>
          <x:t xml:space="preserve">TSMC</x:t>
        </x:is>
      </x:c>
      <x:c r="Y160" s="5" t="n"/>
      <x:c r="Z160" s="5" t="n"/>
      <x:c r="AA160" s="5" t="n"/>
      <x:c r="AB160" s="5" t="n"/>
      <x:c r="AC160" s="5" t="n"/>
      <x:c r="AD160" s="5" t="n"/>
      <x:c r="AE160" s="5" t="n">
        <x:v>7</x:v>
      </x:c>
      <x:c r="AF160" s="5" t="n"/>
      <x:c r="AG160" s="2" t="inlineStr">
        <x:is>
          <x:t xml:space="preserve">https://semianalysis.com/2021/08/25/the-tesla-dojo-chip-is-impressive/</x:t>
        </x:is>
      </x:c>
      <x:c r="AH160" s="2" t="n"/>
      <x:c r="AI160" s="2" t="n"/>
      <x:c r="AJ160" s="2" t="inlineStr">
        <x:is>
          <x:t xml:space="preserve">2025-07-21 09:21:19+00:00</x:t>
        </x:is>
      </x:c>
      <x:c r="AK160" s="4" t="n">
        <x:v>362000000000000</x:v>
      </x:c>
      <x:c r="AL160" s="4" t="n">
        <x:v>905000000000</x:v>
      </x:c>
      <x:c r="AM160" s="4" t="n">
        <x:v>5792000000000000</x:v>
      </x:c>
      <x:c r="AN160" s="4" t="n"/>
      <x:c r="AO160" s="4" t="n">
        <x:v>362000000000000</x:v>
      </x:c>
    </x:row>
    <x:row r="161" s="9" customFormat="1" ht="28.799999237060547" customHeight="1">
      <x:c r="A161" s="2" t="inlineStr">
        <x:is>
          <x:t xml:space="preserve">AMD Radeon Instinct MI308X</x:t>
        </x:is>
      </x:c>
      <x:c r="B161" s="2" t="str">
        <x:f>IFERROR(VLOOKUP(TRIM($A161),_classification_map!$A$2:$C$227,2,FALSE),"")</x:f>
        <x:v>CDNA 3</x:v>
      </x:c>
      <x:c r="C161" s="2" t="str">
        <x:f>IFERROR(VLOOKUP(TRIM($A161),_classification_map!$A$2:$C$227,3,FALSE),"")</x:f>
        <x:v>Instinct MI300</x:v>
      </x:c>
      <x:c r="D161" s="2" t="inlineStr">
        <x:is>
          <x:t xml:space="preserve">AMD</x:t>
        </x:is>
      </x:c>
      <x:c r="E161" s="2" t="inlineStr">
        <x:is>
          <x:t xml:space="preserve">GPU</x:t>
        </x:is>
      </x:c>
      <x:c r="F161" s="2" t="n"/>
      <x:c r="G161" s="2" t="inlineStr">
        <x:is>
          <x:t xml:space="preserve">2023-12-06</x:t>
        </x:is>
      </x:c>
      <x:c r="H161" s="3" t="n"/>
      <x:c r="I161" s="4" t="n"/>
      <x:c r="J161" s="4" t="n"/>
      <x:c r="K161" s="4" t="n"/>
      <x:c r="L161" s="4" t="n">
        <x:v>192000000000</x:v>
      </x:c>
      <x:c r="M161" s="4" t="n">
        <x:v>10300000000000</x:v>
      </x:c>
      <x:c r="N161" s="4" t="n"/>
      <x:c r="O161" s="4" t="n"/>
      <x:c r="P161" s="5" t="n">
        <x:v>750</x:v>
      </x:c>
      <x:c r="Q161" s="4" t="n">
        <x:v>81720000000000</x:v>
      </x:c>
      <x:c r="R161" s="4" t="n">
        <x:v>81720000000000</x:v>
      </x:c>
      <x:c r="S161" s="4" t="n"/>
      <x:c r="T161" s="4" t="n">
        <x:v>653700000000000</x:v>
      </x:c>
      <x:c r="U161" s="4" t="n"/>
      <x:c r="V161" s="4" t="n"/>
      <x:c r="W161" s="4" t="n"/>
      <x:c r="X161" s="2" t="inlineStr">
        <x:is>
          <x:t xml:space="preserve">TSMC</x:t>
        </x:is>
      </x:c>
      <x:c r="Y161" s="5" t="n">
        <x:v>1017</x:v>
      </x:c>
      <x:c r="Z161" s="5" t="n">
        <x:v>1000</x:v>
      </x:c>
      <x:c r="AA161" s="5" t="n">
        <x:v>2100</x:v>
      </x:c>
      <x:c r="AB161" s="5" t="n">
        <x:v>2525</x:v>
      </x:c>
      <x:c r="AC161" s="5" t="n">
        <x:v>8192</x:v>
      </x:c>
      <x:c r="AD161" s="5" t="n">
        <x:v>1216</x:v>
      </x:c>
      <x:c r="AE161" s="5" t="n">
        <x:v>5</x:v>
      </x:c>
      <x:c r="AF161" s="5" t="n">
        <x:v>153000</x:v>
      </x:c>
      <x:c r="AG161" s="2" t="inlineStr">
        <x:is>
          <x:t xml:space="preserve">https://www.techpowerup.com/gpu-specs/radeon-instinct-mi308x.c4295</x:t>
        </x:is>
      </x:c>
      <x:c r="AH161" s="2" t="n"/>
      <x:c r="AI161" s="2" t="n"/>
      <x:c r="AJ161" s="2" t="inlineStr">
        <x:is>
          <x:t xml:space="preserve">2025-07-27 17:28:45+00:00</x:t>
        </x:is>
      </x:c>
      <x:c r="AK161" s="4" t="n">
        <x:v>653700000000000</x:v>
      </x:c>
      <x:c r="AL161" s="4" t="n">
        <x:v>871600000000</x:v>
      </x:c>
      <x:c r="AM161" s="4" t="n"/>
      <x:c r="AN161" s="4" t="n"/>
      <x:c r="AO161" s="4" t="n">
        <x:v>653700000000000</x:v>
      </x:c>
    </x:row>
    <x:row r="162" s="9" customFormat="1" ht="57.599998474121094" customHeight="1">
      <x:c r="A162" s="2" t="inlineStr">
        <x:is>
          <x:t xml:space="preserve">Huawei Ascend 970</x:t>
        </x:is>
      </x:c>
      <x:c r="B162" s="2" t="str">
        <x:f>IFERROR(VLOOKUP(TRIM($A162),_classification_map!$A$2:$C$227,2,FALSE),"")</x:f>
        <x:v>Ascend 970</x:v>
      </x:c>
      <x:c r="C162" s="2" t="str">
        <x:f>IFERROR(VLOOKUP(TRIM($A162),_classification_map!$A$2:$C$227,3,FALSE),"")</x:f>
        <x:v>Ascend</x:v>
      </x:c>
      <x:c r="D162" s="2" t="inlineStr">
        <x:is>
          <x:t xml:space="preserve">Huawei</x:t>
        </x:is>
      </x:c>
      <x:c r="E162" s="2" t="inlineStr">
        <x:is>
          <x:t xml:space="preserve">NPU</x:t>
        </x:is>
      </x:c>
      <x:c r="F162" s="2" t="n"/>
      <x:c r="G162" s="2" t="n"/>
      <x:c r="H162" s="3" t="n"/>
      <x:c r="I162" s="4" t="n"/>
      <x:c r="J162" s="4" t="n">
        <x:v>4000000000000000</x:v>
      </x:c>
      <x:c r="K162" s="4" t="n">
        <x:v>8000000000000000</x:v>
      </x:c>
      <x:c r="L162" s="4" t="n"/>
      <x:c r="M162" s="4" t="n">
        <x:v>14400000000000</x:v>
      </x:c>
      <x:c r="N162" s="4" t="n"/>
      <x:c r="O162" s="4" t="n">
        <x:v>4000000000000</x:v>
      </x:c>
      <x:c r="P162" s="5" t="n"/>
      <x:c r="Q162" s="4" t="n"/>
      <x:c r="R162" s="4" t="n"/>
      <x:c r="S162" s="4" t="n"/>
      <x:c r="T162" s="4" t="n"/>
      <x:c r="U162" s="4" t="n"/>
      <x:c r="V162" s="4" t="n"/>
      <x:c r="W162" s="4" t="n"/>
      <x:c r="X162" s="2" t="n"/>
      <x:c r="Y162" s="5" t="n"/>
      <x:c r="Z162" s="5" t="n"/>
      <x:c r="AA162" s="5" t="n"/>
      <x:c r="AB162" s="5" t="n"/>
      <x:c r="AC162" s="5" t="n"/>
      <x:c r="AD162" s="5" t="n"/>
      <x:c r="AE162" s="5" t="n"/>
      <x:c r="AF162" s="5" t="n"/>
      <x:c r="AG162" s="2" t="inlineStr">
        <x:is>
          <x:t xml:space="preserve">https://www.huawei.com/en/news/2025/9/hc-xu-keynote-speech
https://www.huaweicentral.com/huawei-reveals-3-year-ascend-ai-chip-roadmap-950-coming-in-2026/</x:t>
        </x:is>
      </x:c>
      <x:c r="AH162" s="2" t="n"/>
      <x:c r="AI162" s="2" t="n"/>
      <x:c r="AJ162" s="2" t="inlineStr">
        <x:is>
          <x:t xml:space="preserve">2025-10-14 14:16:22+00:00</x:t>
        </x:is>
      </x:c>
      <x:c r="AK162" s="4" t="n">
        <x:v>0</x:v>
      </x:c>
      <x:c r="AL162" s="4" t="n"/>
      <x:c r="AM162" s="4" t="n"/>
      <x:c r="AN162" s="4" t="n"/>
      <x:c r="AO162" s="4" t="n">
        <x:v>4000000000000000</x:v>
      </x:c>
    </x:row>
    <x:row r="163" s="9" customFormat="1" ht="72" customHeight="1">
      <x:c r="A163" s="2" t="inlineStr">
        <x:is>
          <x:t xml:space="preserve">NVIDIA GeForce GTX 580</x:t>
        </x:is>
      </x:c>
      <x:c r="B163" s="2" t="str">
        <x:f>IFERROR(VLOOKUP(TRIM($A163),_classification_map!$A$2:$C$227,2,FALSE),"")</x:f>
        <x:v>Fermi</x:v>
      </x:c>
      <x:c r="C163" s="2" t="str">
        <x:f>IFERROR(VLOOKUP(TRIM($A163),_classification_map!$A$2:$C$227,3,FALSE),"")</x:f>
        <x:v>GeForce GTX</x:v>
      </x:c>
      <x:c r="D163" s="2" t="inlineStr">
        <x:is>
          <x:t xml:space="preserve">NVIDIA</x:t>
        </x:is>
      </x:c>
      <x:c r="E163" s="2" t="inlineStr">
        <x:is>
          <x:t xml:space="preserve">GPU</x:t>
        </x:is>
      </x:c>
      <x:c r="F163" s="2" t="n"/>
      <x:c r="G163" s="2" t="inlineStr">
        <x:is>
          <x:t xml:space="preserve">2010-11-09</x:t>
        </x:is>
      </x:c>
      <x:c r="H163" s="3" t="n">
        <x:v>499</x:v>
      </x:c>
      <x:c r="I163" s="4" t="n"/>
      <x:c r="J163" s="4" t="n"/>
      <x:c r="K163" s="4" t="n"/>
      <x:c r="L163" s="4" t="n">
        <x:v>1536000000</x:v>
      </x:c>
      <x:c r="M163" s="4" t="n">
        <x:v>192400000000</x:v>
      </x:c>
      <x:c r="N163" s="4" t="n"/>
      <x:c r="O163" s="4" t="n"/>
      <x:c r="P163" s="5" t="n">
        <x:v>244</x:v>
      </x:c>
      <x:c r="Q163" s="4" t="n">
        <x:v>197600000000</x:v>
      </x:c>
      <x:c r="R163" s="4" t="n">
        <x:v>1581000000000</x:v>
      </x:c>
      <x:c r="S163" s="4" t="n"/>
      <x:c r="T163" s="4" t="n"/>
      <x:c r="U163" s="4" t="n"/>
      <x:c r="V163" s="4" t="n"/>
      <x:c r="W163" s="4" t="n"/>
      <x:c r="X163" s="2" t="inlineStr">
        <x:is>
          <x:t xml:space="preserve">TSMC</x:t>
        </x:is>
      </x:c>
      <x:c r="Y163" s="5" t="n">
        <x:v>520</x:v>
      </x:c>
      <x:c r="Z163" s="5" t="n">
        <x:v>772</x:v>
      </x:c>
      <x:c r="AA163" s="5" t="n">
        <x:v>1544</x:v>
      </x:c>
      <x:c r="AB163" s="5" t="n">
        <x:v>1002</x:v>
      </x:c>
      <x:c r="AC163" s="5" t="n">
        <x:v>384</x:v>
      </x:c>
      <x:c r="AD163" s="5" t="n"/>
      <x:c r="AE163" s="5" t="n">
        <x:v>40</x:v>
      </x:c>
      <x:c r="AF163" s="5" t="n">
        <x:v>3000</x:v>
      </x:c>
      <x:c r="AG163" s="2" t="inlineStr">
        <x:is>
          <x:t xml:space="preserve">https://www.techpowerup.com/gpu-specs/geforce-gtx-580.c270</x:t>
        </x:is>
      </x:c>
      <x:c r="AH163" s="2" t="inlineStr">
        <x:is>
          <x:t xml:space="preserve">https://www.techpowerup.com/gpu-specs/geforce-gtx-580.c270</x:t>
        </x:is>
      </x:c>
      <x:c r="AI163" s="2" t="inlineStr">
        <x:is>
          <x:t xml:space="preserve">Dropout (CIFAR),Dropout (ImageNet),Dropout (MNIST),Dropout (TIMIT),AlexNet,Visualizing CNNs,DNN EM segmentation,CNN Committee (NIST),CNN Committee (MNIST),High Performance CNN (NORB),CNN committee (traffic sign)</x:t>
        </x:is>
      </x:c>
      <x:c r="AJ163" s="2" t="inlineStr">
        <x:is>
          <x:t xml:space="preserve">2026-03-18 12:56:18+00:00</x:t>
        </x:is>
      </x:c>
      <x:c r="AK163" s="4" t="n">
        <x:v>1581000000000</x:v>
      </x:c>
      <x:c r="AL163" s="4" t="n">
        <x:v>6479508196.72131</x:v>
      </x:c>
      <x:c r="AM163" s="4" t="n">
        <x:v>50592000000000</x:v>
      </x:c>
      <x:c r="AN163" s="4" t="n">
        <x:v>3168336673.34669</x:v>
      </x:c>
      <x:c r="AO163" s="4" t="n">
        <x:v>1581000000000</x:v>
      </x:c>
    </x:row>
    <x:row r="164" s="9" customFormat="1" ht="28.799999237060547" customHeight="1">
      <x:c r="A164" s="2" t="inlineStr">
        <x:is>
          <x:t xml:space="preserve">NVIDIA GeForce GTX 280</x:t>
        </x:is>
      </x:c>
      <x:c r="B164" s="2" t="str">
        <x:f>IFERROR(VLOOKUP(TRIM($A164),_classification_map!$A$2:$C$227,2,FALSE),"")</x:f>
        <x:v>Tesla</x:v>
      </x:c>
      <x:c r="C164" s="2" t="str">
        <x:f>IFERROR(VLOOKUP(TRIM($A164),_classification_map!$A$2:$C$227,3,FALSE),"")</x:f>
        <x:v>GeForce GTX</x:v>
      </x:c>
      <x:c r="D164" s="2" t="inlineStr">
        <x:is>
          <x:t xml:space="preserve">NVIDIA</x:t>
        </x:is>
      </x:c>
      <x:c r="E164" s="2" t="inlineStr">
        <x:is>
          <x:t xml:space="preserve">GPU</x:t>
        </x:is>
      </x:c>
      <x:c r="F164" s="2" t="n"/>
      <x:c r="G164" s="2" t="inlineStr">
        <x:is>
          <x:t xml:space="preserve">2008-06-16</x:t>
        </x:is>
      </x:c>
      <x:c r="H164" s="3" t="n">
        <x:v>649</x:v>
      </x:c>
      <x:c r="I164" s="4" t="n"/>
      <x:c r="J164" s="4" t="n"/>
      <x:c r="K164" s="4" t="n"/>
      <x:c r="L164" s="4" t="n">
        <x:v>1024000000</x:v>
      </x:c>
      <x:c r="M164" s="4" t="n">
        <x:v>141100000000</x:v>
      </x:c>
      <x:c r="N164" s="4" t="n"/>
      <x:c r="O164" s="4" t="n"/>
      <x:c r="P164" s="5" t="n">
        <x:v>236</x:v>
      </x:c>
      <x:c r="Q164" s="4" t="n">
        <x:v>77760000000</x:v>
      </x:c>
      <x:c r="R164" s="4" t="n">
        <x:v>622100000000</x:v>
      </x:c>
      <x:c r="S164" s="4" t="n"/>
      <x:c r="T164" s="4" t="n"/>
      <x:c r="U164" s="4" t="n"/>
      <x:c r="V164" s="4" t="n"/>
      <x:c r="W164" s="4" t="n"/>
      <x:c r="X164" s="2" t="inlineStr">
        <x:is>
          <x:t xml:space="preserve">TSMC</x:t>
        </x:is>
      </x:c>
      <x:c r="Y164" s="5" t="n">
        <x:v>576</x:v>
      </x:c>
      <x:c r="Z164" s="5" t="n">
        <x:v>602</x:v>
      </x:c>
      <x:c r="AA164" s="5" t="n"/>
      <x:c r="AB164" s="5" t="n">
        <x:v>1107</x:v>
      </x:c>
      <x:c r="AC164" s="5" t="n">
        <x:v>512</x:v>
      </x:c>
      <x:c r="AD164" s="5" t="n"/>
      <x:c r="AE164" s="5" t="n">
        <x:v>65</x:v>
      </x:c>
      <x:c r="AF164" s="5" t="n">
        <x:v>1400</x:v>
      </x:c>
      <x:c r="AG164" s="2" t="inlineStr">
        <x:is>
          <x:t xml:space="preserve">https://www.techpowerup.com/gpu-specs/geforce-gtx-280.c216</x:t>
        </x:is>
      </x:c>
      <x:c r="AH164" s="2" t="n"/>
      <x:c r="AI164" s="2" t="inlineStr">
        <x:is>
          <x:t xml:space="preserve">6-layer MLP (MNIST)</x:t>
        </x:is>
      </x:c>
      <x:c r="AJ164" s="2" t="inlineStr">
        <x:is>
          <x:t xml:space="preserve">2026-03-18 12:56:18+00:00</x:t>
        </x:is>
      </x:c>
      <x:c r="AK164" s="4" t="n">
        <x:v>622100000000</x:v>
      </x:c>
      <x:c r="AL164" s="4" t="n">
        <x:v>2636016949.15254</x:v>
      </x:c>
      <x:c r="AM164" s="4" t="n">
        <x:v>19907200000000</x:v>
      </x:c>
      <x:c r="AN164" s="4" t="n">
        <x:v>958551617.873652</x:v>
      </x:c>
      <x:c r="AO164" s="4" t="n">
        <x:v>622100000000</x:v>
      </x:c>
    </x:row>
    <x:row r="165" s="9" customFormat="1" ht="57.599998474121094" customHeight="1">
      <x:c r="A165" s="2" t="inlineStr">
        <x:is>
          <x:t xml:space="preserve">MetaX MXC500 (PCIe)</x:t>
        </x:is>
      </x:c>
      <x:c r="B165" s="2" t="str">
        <x:f>IFERROR(VLOOKUP(TRIM($A165),_classification_map!$A$2:$C$227,2,FALSE),"")</x:f>
        <x:v>MXC500</x:v>
      </x:c>
      <x:c r="C165" s="2" t="str">
        <x:f>IFERROR(VLOOKUP(TRIM($A165),_classification_map!$A$2:$C$227,3,FALSE),"")</x:f>
        <x:v>MXC</x:v>
      </x:c>
      <x:c r="D165" s="2" t="inlineStr">
        <x:is>
          <x:t xml:space="preserve">MetaX</x:t>
        </x:is>
      </x:c>
      <x:c r="E165" s="2" t="inlineStr">
        <x:is>
          <x:t xml:space="preserve">GPGPU</x:t>
        </x:is>
      </x:c>
      <x:c r="F165" s="2" t="n"/>
      <x:c r="G165" s="2" t="inlineStr">
        <x:is>
          <x:t xml:space="preserve">2023-06-13</x:t>
        </x:is>
      </x:c>
      <x:c r="H165" s="3" t="n"/>
      <x:c r="I165" s="4" t="n"/>
      <x:c r="J165" s="4" t="n"/>
      <x:c r="K165" s="4" t="n"/>
      <x:c r="L165" s="4" t="n">
        <x:v>64000000000</x:v>
      </x:c>
      <x:c r="M165" s="4" t="n">
        <x:v>18000000000000</x:v>
      </x:c>
      <x:c r="N165" s="4" t="n"/>
      <x:c r="O165" s="4" t="n"/>
      <x:c r="P165" s="5" t="n">
        <x:v>350</x:v>
      </x:c>
      <x:c r="Q165" s="4" t="n"/>
      <x:c r="R165" s="4" t="n">
        <x:v>15000000000000</x:v>
      </x:c>
      <x:c r="S165" s="4" t="n">
        <x:v>120000000000000</x:v>
      </x:c>
      <x:c r="T165" s="4" t="n">
        <x:v>240000000000000</x:v>
      </x:c>
      <x:c r="U165" s="4" t="n"/>
      <x:c r="V165" s="4" t="n">
        <x:v>480000000000000</x:v>
      </x:c>
      <x:c r="W165" s="4" t="n"/>
      <x:c r="X165" s="2" t="n"/>
      <x:c r="Y165" s="5" t="n"/>
      <x:c r="Z165" s="5" t="n"/>
      <x:c r="AA165" s="5" t="n"/>
      <x:c r="AB165" s="5" t="n"/>
      <x:c r="AC165" s="5" t="n"/>
      <x:c r="AD165" s="5" t="n"/>
      <x:c r="AE165" s="5" t="n">
        <x:v>7</x:v>
      </x:c>
      <x:c r="AF165" s="5" t="n"/>
      <x:c r="AG165" s="2" t="inlineStr">
        <x:is>
          <x:t xml:space="preserve">https://blog.csdn.net/qq_23934063/article/details/132473834
https://data.eastmoney.com/report/zw_industry.jshtml?infocode=AP202306151590965492</x:t>
        </x:is>
      </x:c>
      <x:c r="AH165" s="2" t="n"/>
      <x:c r="AI165" s="2" t="n"/>
      <x:c r="AJ165" s="2" t="inlineStr">
        <x:is>
          <x:t xml:space="preserve">2025-07-21 09:20:31+00:00</x:t>
        </x:is>
      </x:c>
      <x:c r="AK165" s="4" t="n">
        <x:v>480000000000000</x:v>
      </x:c>
      <x:c r="AL165" s="4" t="n">
        <x:v>1371428571428.57</x:v>
      </x:c>
      <x:c r="AM165" s="4" t="n">
        <x:v>3840000000000000</x:v>
      </x:c>
      <x:c r="AN165" s="4" t="n"/>
      <x:c r="AO165" s="4" t="n">
        <x:v>480000000000000</x:v>
      </x:c>
    </x:row>
    <x:row r="166" s="9" customFormat="1" ht="57.599998474121094" customHeight="1">
      <x:c r="A166" s="2" t="inlineStr">
        <x:is>
          <x:t xml:space="preserve">MetaX MXC500 (OAM)</x:t>
        </x:is>
      </x:c>
      <x:c r="B166" s="2" t="str">
        <x:f>IFERROR(VLOOKUP(TRIM($A166),_classification_map!$A$2:$C$227,2,FALSE),"")</x:f>
        <x:v>MXC500</x:v>
      </x:c>
      <x:c r="C166" s="2" t="str">
        <x:f>IFERROR(VLOOKUP(TRIM($A166),_classification_map!$A$2:$C$227,3,FALSE),"")</x:f>
        <x:v>MXC</x:v>
      </x:c>
      <x:c r="D166" s="2" t="inlineStr">
        <x:is>
          <x:t xml:space="preserve">MetaX</x:t>
        </x:is>
      </x:c>
      <x:c r="E166" s="2" t="inlineStr">
        <x:is>
          <x:t xml:space="preserve">GPGPU</x:t>
        </x:is>
      </x:c>
      <x:c r="F166" s="2" t="n"/>
      <x:c r="G166" s="2" t="inlineStr">
        <x:is>
          <x:t xml:space="preserve">2023-01-01</x:t>
        </x:is>
      </x:c>
      <x:c r="H166" s="3" t="n"/>
      <x:c r="I166" s="4" t="n"/>
      <x:c r="J166" s="4" t="n"/>
      <x:c r="K166" s="4" t="n"/>
      <x:c r="L166" s="4" t="n">
        <x:v>64000000000</x:v>
      </x:c>
      <x:c r="M166" s="4" t="n">
        <x:v>18000000000000</x:v>
      </x:c>
      <x:c r="N166" s="4" t="n"/>
      <x:c r="O166" s="4" t="n"/>
      <x:c r="P166" s="5" t="n">
        <x:v>450</x:v>
      </x:c>
      <x:c r="Q166" s="4" t="n"/>
      <x:c r="R166" s="4" t="n">
        <x:v>18000000000000</x:v>
      </x:c>
      <x:c r="S166" s="4" t="n">
        <x:v>140000000000000</x:v>
      </x:c>
      <x:c r="T166" s="4" t="n">
        <x:v>280000000000000</x:v>
      </x:c>
      <x:c r="U166" s="4" t="n"/>
      <x:c r="V166" s="4" t="n">
        <x:v>560000000000000</x:v>
      </x:c>
      <x:c r="W166" s="4" t="n"/>
      <x:c r="X166" s="2" t="n"/>
      <x:c r="Y166" s="5" t="n"/>
      <x:c r="Z166" s="5" t="n"/>
      <x:c r="AA166" s="5" t="n"/>
      <x:c r="AB166" s="5" t="n"/>
      <x:c r="AC166" s="5" t="n"/>
      <x:c r="AD166" s="5" t="n"/>
      <x:c r="AE166" s="5" t="n">
        <x:v>7</x:v>
      </x:c>
      <x:c r="AF166" s="5" t="n"/>
      <x:c r="AG166" s="2" t="inlineStr">
        <x:is>
          <x:t xml:space="preserve">https://blog.csdn.net/qq_23934063/article/details/132473834
https://data.eastmoney.com/report/zw_industry.jshtml?infocode=AP202306151590965492</x:t>
        </x:is>
      </x:c>
      <x:c r="AH166" s="2" t="n"/>
      <x:c r="AI166" s="2" t="n"/>
      <x:c r="AJ166" s="2" t="inlineStr">
        <x:is>
          <x:t xml:space="preserve">2025-07-21 09:20:39+00:00</x:t>
        </x:is>
      </x:c>
      <x:c r="AK166" s="4" t="n">
        <x:v>560000000000000</x:v>
      </x:c>
      <x:c r="AL166" s="4" t="n">
        <x:v>1244444444444.44</x:v>
      </x:c>
      <x:c r="AM166" s="4" t="n">
        <x:v>4480000000000000</x:v>
      </x:c>
      <x:c r="AN166" s="4" t="n"/>
      <x:c r="AO166" s="4" t="n">
        <x:v>560000000000000</x:v>
      </x:c>
    </x:row>
    <x:row r="167" s="9" customFormat="1" ht="43.20000076293945" customHeight="1">
      <x:c r="A167" s="2" t="inlineStr">
        <x:is>
          <x:t xml:space="preserve">GroqChip LPU v1</x:t>
        </x:is>
      </x:c>
      <x:c r="B167" s="2" t="str">
        <x:f>IFERROR(VLOOKUP(TRIM($A167),_classification_map!$A$2:$C$227,2,FALSE),"")</x:f>
        <x:v>v1</x:v>
      </x:c>
      <x:c r="C167" s="2" t="str">
        <x:f>IFERROR(VLOOKUP(TRIM($A167),_classification_map!$A$2:$C$227,3,FALSE),"")</x:f>
        <x:v>LPU</x:v>
      </x:c>
      <x:c r="D167" s="2" t="n"/>
      <x:c r="E167" s="2" t="inlineStr">
        <x:is>
          <x:t xml:space="preserve">LPU</x:t>
        </x:is>
      </x:c>
      <x:c r="F167" s="2" t="n"/>
      <x:c r="G167" s="2" t="inlineStr">
        <x:is>
          <x:t xml:space="preserve">2022-10-15</x:t>
        </x:is>
      </x:c>
      <x:c r="H167" s="3" t="n"/>
      <x:c r="I167" s="4" t="n"/>
      <x:c r="J167" s="4" t="n"/>
      <x:c r="K167" s="4" t="n"/>
      <x:c r="L167" s="4" t="n">
        <x:v>230000000</x:v>
      </x:c>
      <x:c r="M167" s="4" t="n">
        <x:v>80000000000000</x:v>
      </x:c>
      <x:c r="N167" s="4" t="n"/>
      <x:c r="O167" s="4" t="n"/>
      <x:c r="P167" s="5" t="n">
        <x:v>215</x:v>
      </x:c>
      <x:c r="Q167" s="4" t="n"/>
      <x:c r="R167" s="4" t="n"/>
      <x:c r="S167" s="4" t="n"/>
      <x:c r="T167" s="4" t="n">
        <x:v>188000000000000</x:v>
      </x:c>
      <x:c r="U167" s="4" t="n"/>
      <x:c r="V167" s="4" t="n">
        <x:v>750000000000000</x:v>
      </x:c>
      <x:c r="W167" s="4" t="n"/>
      <x:c r="X167" s="2" t="n"/>
      <x:c r="Y167" s="5" t="n"/>
      <x:c r="Z167" s="5" t="n">
        <x:v>900</x:v>
      </x:c>
      <x:c r="AA167" s="5" t="n"/>
      <x:c r="AB167" s="5" t="n"/>
      <x:c r="AC167" s="5" t="n"/>
      <x:c r="AD167" s="5" t="n"/>
      <x:c r="AE167" s="5" t="n">
        <x:v>14</x:v>
      </x:c>
      <x:c r="AF167" s="5" t="n"/>
      <x:c r="AG167" s="2" t="inlineStr">
        <x:is>
          <x:t xml:space="preserve">https://groq.com/wp-content/uploads/2024/08/GroqChip%E2%84%A2-Processor-Product-Brief-v1.7.pdf</x:t>
        </x:is>
      </x:c>
      <x:c r="AH167" s="2" t="n"/>
      <x:c r="AI167" s="2" t="n"/>
      <x:c r="AJ167" s="2" t="inlineStr">
        <x:is>
          <x:t xml:space="preserve">2025-07-21 09:21:01+00:00</x:t>
        </x:is>
      </x:c>
      <x:c r="AK167" s="4" t="n">
        <x:v>750000000000000</x:v>
      </x:c>
      <x:c r="AL167" s="4" t="n">
        <x:v>3488372093023.26</x:v>
      </x:c>
      <x:c r="AM167" s="4" t="n">
        <x:v>6000000000000000</x:v>
      </x:c>
      <x:c r="AN167" s="4" t="n"/>
      <x:c r="AO167" s="4" t="n">
        <x:v>750000000000000</x:v>
      </x:c>
    </x:row>
    <x:row r="168" s="9" customFormat="1" ht="43.20000076293945" customHeight="1">
      <x:c r="A168" s="2" t="inlineStr">
        <x:is>
          <x:t xml:space="preserve">NVIDIA Rubin CPX</x:t>
        </x:is>
      </x:c>
      <x:c r="B168" s="2" t="str">
        <x:f>IFERROR(VLOOKUP(TRIM($A168),_classification_map!$A$2:$C$227,2,FALSE),"")</x:f>
        <x:v>Rubin</x:v>
      </x:c>
      <x:c r="C168" s="2" t="str">
        <x:f>IFERROR(VLOOKUP(TRIM($A168),_classification_map!$A$2:$C$227,3,FALSE),"")</x:f>
        <x:v>Rubin</x:v>
      </x:c>
      <x:c r="D168" s="2" t="inlineStr">
        <x:is>
          <x:t xml:space="preserve">NVIDIA</x:t>
        </x:is>
      </x:c>
      <x:c r="E168" s="2" t="inlineStr">
        <x:is>
          <x:t xml:space="preserve">GPU</x:t>
        </x:is>
      </x:c>
      <x:c r="F168" s="2" t="n"/>
      <x:c r="G168" s="2" t="n"/>
      <x:c r="H168" s="3" t="n"/>
      <x:c r="I168" s="4" t="n"/>
      <x:c r="J168" s="4" t="n"/>
      <x:c r="K168" s="4" t="n">
        <x:v>3e+16</x:v>
      </x:c>
      <x:c r="L168" s="4" t="n">
        <x:v>128000000000</x:v>
      </x:c>
      <x:c r="M168" s="4" t="n"/>
      <x:c r="N168" s="4" t="n"/>
      <x:c r="O168" s="4" t="n"/>
      <x:c r="P168" s="5" t="n"/>
      <x:c r="Q168" s="4" t="n"/>
      <x:c r="R168" s="4" t="n"/>
      <x:c r="S168" s="4" t="n"/>
      <x:c r="T168" s="4" t="n"/>
      <x:c r="U168" s="4" t="n"/>
      <x:c r="V168" s="4" t="n"/>
      <x:c r="W168" s="4" t="n"/>
      <x:c r="X168" s="2" t="n"/>
      <x:c r="Y168" s="5" t="n"/>
      <x:c r="Z168" s="5" t="n"/>
      <x:c r="AA168" s="5" t="n"/>
      <x:c r="AB168" s="5" t="n"/>
      <x:c r="AC168" s="5" t="n"/>
      <x:c r="AD168" s="5" t="n"/>
      <x:c r="AE168" s="5" t="n"/>
      <x:c r="AF168" s="5" t="n"/>
      <x:c r="AG168" s="2" t="inlineStr">
        <x:is>
          <x:t xml:space="preserve">https://nvidianews.nvidia.com/news/nvidia-unveils-rubin-cpx-a-new-class-of-gpu-designed-for-massive-context-inference</x:t>
        </x:is>
      </x:c>
      <x:c r="AH168" s="2" t="n"/>
      <x:c r="AI168" s="2" t="n"/>
      <x:c r="AJ168" s="2" t="inlineStr">
        <x:is>
          <x:t xml:space="preserve">2025-09-11 17:27:44+00:00</x:t>
        </x:is>
      </x:c>
      <x:c r="AK168" s="4" t="n">
        <x:v>0</x:v>
      </x:c>
      <x:c r="AL168" s="4" t="n"/>
      <x:c r="AM168" s="4" t="n"/>
      <x:c r="AN168" s="4" t="n"/>
      <x:c r="AO168" s="4" t="n">
        <x:v>0</x:v>
      </x:c>
    </x:row>
    <x:row r="169">
      <x:c r="A169" s="2" t="inlineStr">
        <x:is>
          <x:t xml:space="preserve">AMD Instinct MI210</x:t>
        </x:is>
      </x:c>
      <x:c r="B169" s="2" t="str">
        <x:f>IFERROR(VLOOKUP(TRIM($A169),_classification_map!$A$2:$C$227,2,FALSE),"")</x:f>
        <x:v>CDNA 2</x:v>
      </x:c>
      <x:c r="C169" s="2" t="str">
        <x:f>IFERROR(VLOOKUP(TRIM($A169),_classification_map!$A$2:$C$227,3,FALSE),"")</x:f>
        <x:v>Instinct MI200</x:v>
      </x:c>
      <x:c r="D169" s="2" t="inlineStr">
        <x:is>
          <x:t xml:space="preserve">AMD</x:t>
        </x:is>
      </x:c>
      <x:c r="E169" s="2" t="inlineStr">
        <x:is>
          <x:t xml:space="preserve">GPU</x:t>
        </x:is>
      </x:c>
      <x:c r="F169" s="2" t="n"/>
      <x:c r="G169" s="2" t="n"/>
      <x:c r="H169" s="3" t="n"/>
      <x:c r="I169" s="4" t="n">
        <x:v>181000000000000</x:v>
      </x:c>
      <x:c r="J169" s="4" t="n"/>
      <x:c r="K169" s="4" t="n"/>
      <x:c r="L169" s="4" t="n">
        <x:v>64000000000</x:v>
      </x:c>
      <x:c r="M169" s="4" t="n"/>
      <x:c r="N169" s="4" t="n"/>
      <x:c r="O169" s="4" t="n"/>
      <x:c r="P169" s="5" t="n"/>
      <x:c r="Q169" s="4" t="n"/>
      <x:c r="R169" s="4" t="n"/>
      <x:c r="S169" s="4" t="n"/>
      <x:c r="T169" s="4" t="n"/>
      <x:c r="U169" s="4" t="n"/>
      <x:c r="V169" s="4" t="n"/>
      <x:c r="W169" s="4" t="n"/>
      <x:c r="X169" s="2" t="n"/>
      <x:c r="Y169" s="5" t="n"/>
      <x:c r="Z169" s="5" t="n"/>
      <x:c r="AA169" s="5" t="n"/>
      <x:c r="AB169" s="5" t="n"/>
      <x:c r="AC169" s="5" t="n"/>
      <x:c r="AD169" s="5" t="n"/>
      <x:c r="AE169" s="5" t="n"/>
      <x:c r="AF169" s="5" t="n"/>
      <x:c r="AG169" s="2" t="n"/>
      <x:c r="AH169" s="2" t="n"/>
      <x:c r="AI169" s="2" t="n"/>
      <x:c r="AJ169" s="2" t="n"/>
      <x:c r="AK169" s="4" t="n"/>
      <x:c r="AL169" s="4" t="n"/>
      <x:c r="AM169" s="4" t="n"/>
      <x:c r="AN169" s="4" t="n"/>
      <x:c r="AO169" s="4" t="n"/>
    </x:row>
    <x:row r="170" s="9" customFormat="1" ht="86.4000015258789" customHeight="1">
      <x:c r="A170" s="2" t="inlineStr">
        <x:is>
          <x:t xml:space="preserve">Maia 100 (M100)</x:t>
        </x:is>
      </x:c>
      <x:c r="B170" s="2">
        <x:f>IFERROR(VLOOKUP(TRIM($A170),_classification_map!$A$2:$C$227,2,FALSE),"")</x:f>
        <x:v>100</x:v>
      </x:c>
      <x:c r="C170" s="2" t="str">
        <x:f>IFERROR(VLOOKUP(TRIM($A170),_classification_map!$A$2:$C$227,3,FALSE),"")</x:f>
        <x:v>Maia</x:v>
      </x:c>
      <x:c r="D170" s="2" t="inlineStr">
        <x:is>
          <x:t xml:space="preserve">Microsoft</x:t>
        </x:is>
      </x:c>
      <x:c r="E170" s="2" t="inlineStr">
        <x:is>
          <x:t xml:space="preserve">GPU</x:t>
        </x:is>
      </x:c>
      <x:c r="F170" s="2" t="n"/>
      <x:c r="G170" s="2" t="inlineStr">
        <x:is>
          <x:t xml:space="preserve">2024-08-27</x:t>
        </x:is>
      </x:c>
      <x:c r="H170" s="3" t="n"/>
      <x:c r="I170" s="4" t="n">
        <x:v>800000000000000</x:v>
      </x:c>
      <x:c r="J170" s="4" t="n"/>
      <x:c r="K170" s="4" t="n"/>
      <x:c r="L170" s="4" t="n"/>
      <x:c r="M170" s="4" t="n"/>
      <x:c r="N170" s="4" t="n"/>
      <x:c r="O170" s="4" t="n"/>
      <x:c r="P170" s="5" t="n">
        <x:v>500</x:v>
      </x:c>
      <x:c r="Q170" s="4" t="n"/>
      <x:c r="R170" s="4" t="n"/>
      <x:c r="S170" s="4" t="n"/>
      <x:c r="T170" s="4" t="n"/>
      <x:c r="U170" s="4" t="n"/>
      <x:c r="V170" s="4" t="n"/>
      <x:c r="W170" s="4" t="n"/>
      <x:c r="X170" s="2" t="inlineStr">
        <x:is>
          <x:t xml:space="preserve">TSMC</x:t>
        </x:is>
      </x:c>
      <x:c r="Y170" s="5" t="n">
        <x:v>820</x:v>
      </x:c>
      <x:c r="Z170" s="5" t="n"/>
      <x:c r="AA170" s="5" t="n"/>
      <x:c r="AB170" s="5" t="n"/>
      <x:c r="AC170" s="5" t="n"/>
      <x:c r="AD170" s="5" t="n"/>
      <x:c r="AE170" s="5" t="n">
        <x:v>5</x:v>
      </x:c>
      <x:c r="AF170" s="5" t="n"/>
      <x:c r="AG170" s="2" t="inlineStr">
        <x:is>
          <x:t xml:space="preserve">https://www.techpowerup.com/326105/microsoft-unveils-new-details-on-maia-100-its-first-custom-ai-chip
https://techcommunity.microsoft.com/blog/azureinfrastructureblog/inside-maia-100-revolutionizing-ai-workloads-with-microsofts-custom-ai-accelerat/4229118</x:t>
        </x:is>
      </x:c>
      <x:c r="AH170" s="2" t="n"/>
      <x:c r="AI170" s="2" t="n"/>
      <x:c r="AJ170" s="2" t="inlineStr">
        <x:is>
          <x:t xml:space="preserve">2025-07-21 09:20:23+00:00</x:t>
        </x:is>
      </x:c>
      <x:c r="AK170" s="4" t="n">
        <x:v>800000000000000</x:v>
      </x:c>
      <x:c r="AL170" s="4" t="n">
        <x:v>1600000000000</x:v>
      </x:c>
      <x:c r="AM170" s="4" t="n">
        <x:v>1.28e+16</x:v>
      </x:c>
      <x:c r="AN170" s="4" t="n"/>
      <x:c r="AO170" s="4" t="n">
        <x:v>800000000000000</x:v>
      </x:c>
    </x:row>
    <x:row r="171" s="9" customFormat="1" ht="57.599998474121094" customHeight="1">
      <x:c r="A171" s="2" t="inlineStr">
        <x:is>
          <x:t xml:space="preserve">Amazon Trainium3</x:t>
        </x:is>
      </x:c>
      <x:c r="B171" s="2" t="str">
        <x:f>IFERROR(VLOOKUP(TRIM($A171),_classification_map!$A$2:$C$227,2,FALSE),"")</x:f>
        <x:v>Trainium3</x:v>
      </x:c>
      <x:c r="C171" s="2" t="str">
        <x:f>IFERROR(VLOOKUP(TRIM($A171),_classification_map!$A$2:$C$227,3,FALSE),"")</x:f>
        <x:v>Trainium</x:v>
      </x:c>
      <x:c r="D171" s="2" t="inlineStr">
        <x:is>
          <x:t xml:space="preserve">Amazon AWS</x:t>
        </x:is>
      </x:c>
      <x:c r="E171" s="2" t="inlineStr">
        <x:is>
          <x:t xml:space="preserve">GPU</x:t>
        </x:is>
      </x:c>
      <x:c r="F171" s="2" t="inlineStr">
        <x:is>
          <x:t xml:space="preserve">Source for TDP: https://newsletter.semianalysis.com/p/aws-trainium3-deep-dive-a-potential
to do: fill in memory specs</x:t>
        </x:is>
      </x:c>
      <x:c r="G171" s="2" t="inlineStr">
        <x:is>
          <x:t xml:space="preserve">2025-12-02</x:t>
        </x:is>
      </x:c>
      <x:c r="H171" s="3" t="n"/>
      <x:c r="I171" s="4" t="n">
        <x:v>671000000000000</x:v>
      </x:c>
      <x:c r="J171" s="4" t="n">
        <x:v>2517000000000000</x:v>
      </x:c>
      <x:c r="K171" s="4" t="n">
        <x:v>2517000000000000</x:v>
      </x:c>
      <x:c r="L171" s="4" t="n"/>
      <x:c r="M171" s="4" t="n"/>
      <x:c r="N171" s="4" t="n"/>
      <x:c r="O171" s="4" t="n"/>
      <x:c r="P171" s="5" t="n">
        <x:v>700</x:v>
      </x:c>
      <x:c r="Q171" s="4" t="n"/>
      <x:c r="R171" s="4" t="n">
        <x:v>183000000000000</x:v>
      </x:c>
      <x:c r="S171" s="4" t="n">
        <x:v>671000000000000</x:v>
      </x:c>
      <x:c r="T171" s="4" t="n"/>
      <x:c r="U171" s="4" t="n"/>
      <x:c r="V171" s="4" t="n"/>
      <x:c r="W171" s="4" t="n"/>
      <x:c r="X171" s="2" t="inlineStr">
        <x:is>
          <x:t xml:space="preserve">TSMC</x:t>
        </x:is>
      </x:c>
      <x:c r="Y171" s="5" t="n"/>
      <x:c r="Z171" s="5" t="n"/>
      <x:c r="AA171" s="5" t="n"/>
      <x:c r="AB171" s="5" t="n"/>
      <x:c r="AC171" s="5" t="n"/>
      <x:c r="AD171" s="5" t="n"/>
      <x:c r="AE171" s="5" t="n"/>
      <x:c r="AF171" s="5" t="n"/>
      <x:c r="AG171" s="2" t="inlineStr">
        <x:is>
          <x:t xml:space="preserve">https://awsdocs-neuron.readthedocs-hosted.com/en/latest/about-neuron/arch/neuron-hardware/trainium3.html </x:t>
        </x:is>
      </x:c>
      <x:c r="AH171" s="2" t="n"/>
      <x:c r="AI171" s="2" t="n"/>
      <x:c r="AJ171" s="2" t="inlineStr">
        <x:is>
          <x:t xml:space="preserve">2026-03-18 15:34:46+00:00</x:t>
        </x:is>
      </x:c>
      <x:c r="AK171" s="4" t="n">
        <x:v>671000000000000</x:v>
      </x:c>
      <x:c r="AL171" s="4" t="n">
        <x:v>958571428571.429</x:v>
      </x:c>
      <x:c r="AM171" s="4" t="n">
        <x:v>2.0136e+16</x:v>
      </x:c>
      <x:c r="AN171" s="4" t="n"/>
      <x:c r="AO171" s="4" t="n">
        <x:v>2517000000000000</x:v>
      </x:c>
    </x:row>
    <x:row r="172" s="9" customFormat="1" ht="72" customHeight="1">
      <x:c r="A172" s="2" t="inlineStr">
        <x:is>
          <x:t xml:space="preserve">Cambricon Siyuan 590</x:t>
        </x:is>
      </x:c>
      <x:c r="B172" s="2" t="str">
        <x:f>IFERROR(VLOOKUP(TRIM($A172),_classification_map!$A$2:$C$227,2,FALSE),"")</x:f>
        <x:v>Siyuan 590</x:v>
      </x:c>
      <x:c r="C172" s="2" t="str">
        <x:f>IFERROR(VLOOKUP(TRIM($A172),_classification_map!$A$2:$C$227,3,FALSE),"")</x:f>
        <x:v>Siyuan</x:v>
      </x:c>
      <x:c r="D172" s="2" t="inlineStr">
        <x:is>
          <x:t xml:space="preserve">Cambricon</x:t>
        </x:is>
      </x:c>
      <x:c r="E172" s="2" t="n"/>
      <x:c r="F172" s="2" t="inlineStr">
        <x:is>
          <x:t xml:space="preserve">Listed performance figures and TDP from a photo of a keynote by Cambricon's co-founder: https://news.qq.com/rain/a/20250826A08Y4I00</x:t>
        </x:is>
      </x:c>
      <x:c r="G172" s="2" t="inlineStr">
        <x:is>
          <x:t xml:space="preserve">2024-10-31</x:t>
        </x:is>
      </x:c>
      <x:c r="H172" s="3" t="n"/>
      <x:c r="I172" s="4" t="n"/>
      <x:c r="J172" s="4" t="n"/>
      <x:c r="K172" s="4" t="n"/>
      <x:c r="L172" s="4" t="n"/>
      <x:c r="M172" s="4" t="n"/>
      <x:c r="N172" s="4" t="n"/>
      <x:c r="O172" s="4" t="n"/>
      <x:c r="P172" s="5" t="n">
        <x:v>200</x:v>
      </x:c>
      <x:c r="Q172" s="4" t="n"/>
      <x:c r="R172" s="4" t="n"/>
      <x:c r="S172" s="4" t="n"/>
      <x:c r="T172" s="4" t="n">
        <x:v>345000000000000</x:v>
      </x:c>
      <x:c r="U172" s="4" t="n"/>
      <x:c r="V172" s="4" t="n"/>
      <x:c r="W172" s="4" t="n"/>
      <x:c r="X172" s="2" t="inlineStr">
        <x:is>
          <x:t xml:space="preserve">SMIC</x:t>
        </x:is>
      </x:c>
      <x:c r="Y172" s="5" t="n"/>
      <x:c r="Z172" s="5" t="n"/>
      <x:c r="AA172" s="5" t="n"/>
      <x:c r="AB172" s="5" t="n"/>
      <x:c r="AC172" s="5" t="n"/>
      <x:c r="AD172" s="5" t="n"/>
      <x:c r="AE172" s="5" t="n">
        <x:v>7</x:v>
      </x:c>
      <x:c r="AF172" s="5" t="n"/>
      <x:c r="AG172" s="2" t="inlineStr">
        <x:is>
          <x:t xml:space="preserve">https://techbuzzchina.substack.com/p/cambricon-chinas-nvidiaor-nvidia
https://www.linkedin.com/pulse/china-really-closing-ai-chip-gap-skeptics-take-rick-margerison-7crxc</x:t>
        </x:is>
      </x:c>
      <x:c r="AH172" s="2" t="n"/>
      <x:c r="AI172" s="2" t="n"/>
      <x:c r="AJ172" s="2" t="inlineStr">
        <x:is>
          <x:t xml:space="preserve">2026-03-31 15:54:25+00:00</x:t>
        </x:is>
      </x:c>
      <x:c r="AK172" s="4" t="n">
        <x:v>345000000000000</x:v>
      </x:c>
      <x:c r="AL172" s="4" t="n">
        <x:v>1725000000000</x:v>
      </x:c>
      <x:c r="AM172" s="4" t="n"/>
      <x:c r="AN172" s="4" t="n"/>
      <x:c r="AO172" s="4" t="n">
        <x:v>345000000000000</x:v>
      </x:c>
    </x:row>
    <x:row r="173" s="9" customFormat="1" ht="28.799999237060547" customHeight="1">
      <x:c r="A173" s="2" t="inlineStr">
        <x:is>
          <x:t xml:space="preserve">NVIDIA VR200</x:t>
        </x:is>
      </x:c>
      <x:c r="B173" s="2" t="str">
        <x:f>IFERROR(VLOOKUP(TRIM($A173),_classification_map!$A$2:$C$227,2,FALSE),"")</x:f>
        <x:v>Rubin</x:v>
      </x:c>
      <x:c r="C173" s="2" t="str">
        <x:f>IFERROR(VLOOKUP(TRIM($A173),_classification_map!$A$2:$C$227,3,FALSE),"")</x:f>
        <x:v>Rubin</x:v>
      </x:c>
      <x:c r="D173" s="2" t="inlineStr">
        <x:is>
          <x:t xml:space="preserve">NVIDIA</x:t>
        </x:is>
      </x:c>
      <x:c r="E173" s="2" t="inlineStr">
        <x:is>
          <x:t xml:space="preserve">GPU</x:t>
        </x:is>
      </x:c>
      <x:c r="F173" s="2" t="n"/>
      <x:c r="G173" s="2" t="n"/>
      <x:c r="H173" s="3" t="n"/>
      <x:c r="I173" s="4" t="n"/>
      <x:c r="J173" s="4" t="n"/>
      <x:c r="K173" s="4" t="n"/>
      <x:c r="L173" s="4" t="n"/>
      <x:c r="M173" s="4" t="n"/>
      <x:c r="N173" s="4" t="n"/>
      <x:c r="O173" s="4" t="n"/>
      <x:c r="P173" s="5" t="n"/>
      <x:c r="Q173" s="4" t="n"/>
      <x:c r="R173" s="4" t="n"/>
      <x:c r="S173" s="4" t="n"/>
      <x:c r="T173" s="4" t="n"/>
      <x:c r="U173" s="4" t="n"/>
      <x:c r="V173" s="4" t="n"/>
      <x:c r="W173" s="4" t="n"/>
      <x:c r="X173" s="2" t="n"/>
      <x:c r="Y173" s="5" t="n"/>
      <x:c r="Z173" s="5" t="n"/>
      <x:c r="AA173" s="5" t="n"/>
      <x:c r="AB173" s="5" t="n"/>
      <x:c r="AC173" s="5" t="n"/>
      <x:c r="AD173" s="5" t="n"/>
      <x:c r="AE173" s="5" t="n"/>
      <x:c r="AF173" s="5" t="n"/>
      <x:c r="AG173" s="2" t="inlineStr">
        <x:is>
          <x:t xml:space="preserve">https://www.nvidia.com/en-us/data-center/vera-rubin-nvl72/</x:t>
        </x:is>
      </x:c>
      <x:c r="AH173" s="2" t="n"/>
      <x:c r="AI173" s="2" t="n"/>
      <x:c r="AJ173" s="2" t="inlineStr">
        <x:is>
          <x:t xml:space="preserve">2026-03-03 20:26:42+00:00</x:t>
        </x:is>
      </x:c>
      <x:c r="AK173" s="4" t="n">
        <x:v>0</x:v>
      </x:c>
      <x:c r="AL173" s="4" t="n"/>
      <x:c r="AM173" s="4" t="n"/>
      <x:c r="AN173" s="4" t="n"/>
      <x:c r="AO173" s="4" t="n">
        <x:v>0</x:v>
      </x:c>
    </x:row>
    <x:row r="174" s="9" customFormat="1" ht="43.20000076293945" customHeight="1">
      <x:c r="A174" s="2" t="inlineStr">
        <x:is>
          <x:t xml:space="preserve">NVIDIA VR300 (Rubin Ultra)</x:t>
        </x:is>
      </x:c>
      <x:c r="B174" s="2" t="str">
        <x:f>IFERROR(VLOOKUP(TRIM($A174),_classification_map!$A$2:$C$227,2,FALSE),"")</x:f>
        <x:v>Rubin Ultra</x:v>
      </x:c>
      <x:c r="C174" s="2" t="str">
        <x:f>IFERROR(VLOOKUP(TRIM($A174),_classification_map!$A$2:$C$227,3,FALSE),"")</x:f>
        <x:v>Rubin</x:v>
      </x:c>
      <x:c r="D174" s="2" t="inlineStr">
        <x:is>
          <x:t xml:space="preserve">NVIDIA</x:t>
        </x:is>
      </x:c>
      <x:c r="E174" s="2" t="inlineStr">
        <x:is>
          <x:t xml:space="preserve">GPU</x:t>
        </x:is>
      </x:c>
      <x:c r="F174" s="2" t="inlineStr">
        <x:is>
          <x:t xml:space="preserve">https://www.datacenterdynamics.com/en/news/nvidias-rubin-ultra-nvl576-rack-expected-to-be-600kw-coming-second-half-of-2027/</x:t>
        </x:is>
      </x:c>
      <x:c r="G174" s="2" t="n"/>
      <x:c r="H174" s="3" t="n"/>
      <x:c r="I174" s="4" t="n"/>
      <x:c r="J174" s="4" t="n"/>
      <x:c r="K174" s="4" t="n"/>
      <x:c r="L174" s="4" t="n"/>
      <x:c r="M174" s="4" t="n"/>
      <x:c r="N174" s="4" t="n"/>
      <x:c r="O174" s="4" t="n"/>
      <x:c r="P174" s="5" t="n"/>
      <x:c r="Q174" s="4" t="n"/>
      <x:c r="R174" s="4" t="n"/>
      <x:c r="S174" s="4" t="n"/>
      <x:c r="T174" s="4" t="n"/>
      <x:c r="U174" s="4" t="n"/>
      <x:c r="V174" s="4" t="n"/>
      <x:c r="W174" s="4" t="n"/>
      <x:c r="X174" s="2" t="n"/>
      <x:c r="Y174" s="5" t="n"/>
      <x:c r="Z174" s="5" t="n"/>
      <x:c r="AA174" s="5" t="n"/>
      <x:c r="AB174" s="5" t="n"/>
      <x:c r="AC174" s="5" t="n"/>
      <x:c r="AD174" s="5" t="n"/>
      <x:c r="AE174" s="5" t="n"/>
      <x:c r="AF174" s="5" t="n"/>
      <x:c r="AG174" s="2" t="n"/>
      <x:c r="AH174" s="2" t="n"/>
      <x:c r="AI174" s="2" t="n"/>
      <x:c r="AJ174" s="2" t="inlineStr">
        <x:is>
          <x:t xml:space="preserve">2026-03-03 20:26:48+00:00</x:t>
        </x:is>
      </x:c>
      <x:c r="AK174" s="4" t="n">
        <x:v>0</x:v>
      </x:c>
      <x:c r="AL174" s="4" t="n"/>
      <x:c r="AM174" s="4" t="n"/>
      <x:c r="AN174" s="4" t="n"/>
      <x:c r="AO174" s="4" t="n">
        <x:v>0</x:v>
      </x:c>
    </x:row>
    <x:row r="175">
      <x:c r="A175" s="2" t="inlineStr">
        <x:is>
          <x:t xml:space="preserve">MetaX MXN100</x:t>
        </x:is>
      </x:c>
      <x:c r="B175" s="2" t="str">
        <x:f>IFERROR(VLOOKUP(TRIM($A175),_classification_map!$A$2:$C$227,2,FALSE),"")</x:f>
        <x:v>MXN100</x:v>
      </x:c>
      <x:c r="C175" s="2" t="str">
        <x:f>IFERROR(VLOOKUP(TRIM($A175),_classification_map!$A$2:$C$227,3,FALSE),"")</x:f>
        <x:v>MXN</x:v>
      </x:c>
      <x:c r="D175" s="2" t="inlineStr">
        <x:is>
          <x:t xml:space="preserve">MetaX</x:t>
        </x:is>
      </x:c>
      <x:c r="E175" s="2" t="inlineStr">
        <x:is>
          <x:t xml:space="preserve">GPU</x:t>
        </x:is>
      </x:c>
      <x:c r="F175" s="2" t="n"/>
      <x:c r="G175" s="2" t="inlineStr">
        <x:is>
          <x:t xml:space="preserve">2023-06-07</x:t>
        </x:is>
      </x:c>
      <x:c r="H175" s="3" t="n"/>
      <x:c r="I175" s="4" t="n"/>
      <x:c r="J175" s="4" t="n"/>
      <x:c r="K175" s="4" t="n"/>
      <x:c r="L175" s="4" t="n"/>
      <x:c r="M175" s="4" t="n"/>
      <x:c r="N175" s="4" t="n"/>
      <x:c r="O175" s="4" t="n"/>
      <x:c r="P175" s="5" t="n"/>
      <x:c r="Q175" s="4" t="n"/>
      <x:c r="R175" s="4" t="n"/>
      <x:c r="S175" s="4" t="n"/>
      <x:c r="T175" s="4" t="n">
        <x:v>80000000000000</x:v>
      </x:c>
      <x:c r="U175" s="4" t="n"/>
      <x:c r="V175" s="4" t="n">
        <x:v>160000000000000</x:v>
      </x:c>
      <x:c r="W175" s="4" t="n"/>
      <x:c r="X175" s="2" t="n"/>
      <x:c r="Y175" s="5" t="n"/>
      <x:c r="Z175" s="5" t="n"/>
      <x:c r="AA175" s="5" t="n"/>
      <x:c r="AB175" s="5" t="n"/>
      <x:c r="AC175" s="5" t="n"/>
      <x:c r="AD175" s="5" t="n"/>
      <x:c r="AE175" s="5" t="n"/>
      <x:c r="AF175" s="5" t="n"/>
      <x:c r="AG175" s="2" t="inlineStr">
        <x:is>
          <x:t xml:space="preserve">https://www.metax-tech.com/ndetail/12469.html</x:t>
        </x:is>
      </x:c>
      <x:c r="AH175" s="2" t="n"/>
      <x:c r="AI175" s="2" t="n"/>
      <x:c r="AJ175" s="2" t="inlineStr">
        <x:is>
          <x:t xml:space="preserve">2025-07-21 09:20:31+00:00</x:t>
        </x:is>
      </x:c>
      <x:c r="AK175" s="4" t="n">
        <x:v>160000000000000</x:v>
      </x:c>
      <x:c r="AL175" s="4" t="n"/>
      <x:c r="AM175" s="4" t="n">
        <x:v>1280000000000000</x:v>
      </x:c>
      <x:c r="AN175" s="4" t="n"/>
      <x:c r="AO175" s="4" t="n">
        <x:v>160000000000000</x:v>
      </x:c>
    </x:row>
    <x:row r="176">
      <x:c r="A176" s="2" t="inlineStr">
        <x:is>
          <x:t xml:space="preserve">Tianshu Zhixin Zhikai 100</x:t>
        </x:is>
      </x:c>
      <x:c r="B176" s="2">
        <x:f>IFERROR(VLOOKUP(TRIM($A176),_classification_map!$A$2:$C$227,2,FALSE),"")</x:f>
        <x:v>100</x:v>
      </x:c>
      <x:c r="C176" s="2" t="str">
        <x:f>IFERROR(VLOOKUP(TRIM($A176),_classification_map!$A$2:$C$227,3,FALSE),"")</x:f>
        <x:v>Zhikai</x:v>
      </x:c>
      <x:c r="D176" s="2" t="inlineStr">
        <x:is>
          <x:t xml:space="preserve">Iluvatar CoreX</x:t>
        </x:is>
      </x:c>
      <x:c r="E176" s="2" t="inlineStr">
        <x:is>
          <x:t xml:space="preserve">GPU</x:t>
        </x:is>
      </x:c>
      <x:c r="F176" s="2" t="inlineStr">
        <x:is>
          <x:t xml:space="preserve">https://zhuanlan.zhihu.com/p/593594163</x:t>
        </x:is>
      </x:c>
      <x:c r="G176" s="2" t="inlineStr">
        <x:is>
          <x:t xml:space="preserve">2022-12-20</x:t>
        </x:is>
      </x:c>
      <x:c r="H176" s="3" t="n"/>
      <x:c r="I176" s="4" t="n"/>
      <x:c r="J176" s="4" t="n"/>
      <x:c r="K176" s="4" t="n"/>
      <x:c r="L176" s="4" t="n"/>
      <x:c r="M176" s="4" t="n"/>
      <x:c r="N176" s="4" t="n"/>
      <x:c r="O176" s="4" t="n"/>
      <x:c r="P176" s="5" t="n"/>
      <x:c r="Q176" s="4" t="n"/>
      <x:c r="R176" s="4" t="n">
        <x:v>24000000000000</x:v>
      </x:c>
      <x:c r="S176" s="4" t="n"/>
      <x:c r="T176" s="4" t="n">
        <x:v>96000000000000</x:v>
      </x:c>
      <x:c r="U176" s="4" t="n"/>
      <x:c r="V176" s="4" t="n">
        <x:v>384000000000000</x:v>
      </x:c>
      <x:c r="W176" s="4" t="n"/>
      <x:c r="X176" s="2" t="n"/>
      <x:c r="Y176" s="5" t="n"/>
      <x:c r="Z176" s="5" t="n"/>
      <x:c r="AA176" s="5" t="n"/>
      <x:c r="AB176" s="5" t="n"/>
      <x:c r="AC176" s="5" t="n"/>
      <x:c r="AD176" s="5" t="n"/>
      <x:c r="AE176" s="5" t="n"/>
      <x:c r="AF176" s="5" t="n"/>
      <x:c r="AG176" s="2" t="n"/>
      <x:c r="AH176" s="2" t="n"/>
      <x:c r="AI176" s="2" t="n"/>
      <x:c r="AJ176" s="2" t="inlineStr">
        <x:is>
          <x:t xml:space="preserve">2025-07-21 09:20:40+00:00</x:t>
        </x:is>
      </x:c>
      <x:c r="AK176" s="4" t="n">
        <x:v>384000000000000</x:v>
      </x:c>
      <x:c r="AL176" s="4" t="n"/>
      <x:c r="AM176" s="4" t="n">
        <x:v>3072000000000000</x:v>
      </x:c>
      <x:c r="AN176" s="4" t="n"/>
      <x:c r="AO176" s="4" t="n">
        <x:v>384000000000000</x:v>
      </x:c>
    </x:row>
    <x:row r="177" s="9" customFormat="1" ht="43.20000076293945" customHeight="1">
      <x:c r="A177" s="2" t="inlineStr">
        <x:is>
          <x:t xml:space="preserve">Tianshu Zhixin Tiangai 100 (BI-V100)</x:t>
        </x:is>
      </x:c>
      <x:c r="B177" s="2">
        <x:f>IFERROR(VLOOKUP(TRIM($A177),_classification_map!$A$2:$C$227,2,FALSE),"")</x:f>
        <x:v>100</x:v>
      </x:c>
      <x:c r="C177" s="2" t="str">
        <x:f>IFERROR(VLOOKUP(TRIM($A177),_classification_map!$A$2:$C$227,3,FALSE),"")</x:f>
        <x:v>Tiangai</x:v>
      </x:c>
      <x:c r="D177" s="2" t="inlineStr">
        <x:is>
          <x:t xml:space="preserve">Iluvatar CoreX</x:t>
        </x:is>
      </x:c>
      <x:c r="E177" s="2" t="inlineStr">
        <x:is>
          <x:t xml:space="preserve">GPGPU</x:t>
        </x:is>
      </x:c>
      <x:c r="F177" s="2" t="inlineStr">
        <x:is>
          <x:t xml:space="preserve">http://www.cloudhin.com/xk/showproduct.php?id=275
https://archive.ph/TFXOA</x:t>
        </x:is>
      </x:c>
      <x:c r="G177" s="2" t="inlineStr">
        <x:is>
          <x:t xml:space="preserve">2021-03-31</x:t>
        </x:is>
      </x:c>
      <x:c r="H177" s="3" t="n"/>
      <x:c r="I177" s="4" t="n"/>
      <x:c r="J177" s="4" t="n"/>
      <x:c r="K177" s="4" t="n"/>
      <x:c r="L177" s="4" t="n">
        <x:v>32000000000</x:v>
      </x:c>
      <x:c r="M177" s="4" t="n"/>
      <x:c r="N177" s="4" t="n"/>
      <x:c r="O177" s="4" t="n"/>
      <x:c r="P177" s="5" t="n">
        <x:v>250</x:v>
      </x:c>
      <x:c r="Q177" s="4" t="n"/>
      <x:c r="R177" s="4" t="n">
        <x:v>32000000000000</x:v>
      </x:c>
      <x:c r="S177" s="4" t="n"/>
      <x:c r="T177" s="4" t="n">
        <x:v>128000000000000</x:v>
      </x:c>
      <x:c r="U177" s="4" t="n"/>
      <x:c r="V177" s="4" t="n">
        <x:v>256000000000000</x:v>
      </x:c>
      <x:c r="W177" s="4" t="n"/>
      <x:c r="X177" s="2" t="n"/>
      <x:c r="Y177" s="5" t="n"/>
      <x:c r="Z177" s="5" t="n"/>
      <x:c r="AA177" s="5" t="n"/>
      <x:c r="AB177" s="5" t="n"/>
      <x:c r="AC177" s="5" t="n"/>
      <x:c r="AD177" s="5" t="n"/>
      <x:c r="AE177" s="5" t="n">
        <x:v>7</x:v>
      </x:c>
      <x:c r="AF177" s="5" t="n"/>
      <x:c r="AG177" s="2" t="n"/>
      <x:c r="AH177" s="2" t="n"/>
      <x:c r="AI177" s="2" t="n"/>
      <x:c r="AJ177" s="2" t="inlineStr">
        <x:is>
          <x:t xml:space="preserve">2025-07-21 09:21:41+00:00</x:t>
        </x:is>
      </x:c>
      <x:c r="AK177" s="4" t="n">
        <x:v>256000000000000</x:v>
      </x:c>
      <x:c r="AL177" s="4" t="n">
        <x:v>1024000000000</x:v>
      </x:c>
      <x:c r="AM177" s="4" t="n">
        <x:v>2048000000000000</x:v>
      </x:c>
      <x:c r="AN177" s="4" t="n"/>
      <x:c r="AO177" s="4" t="n">
        <x:v>256000000000000</x:v>
      </x:c>
    </x:row>
    <x:row r="178" s="9" customFormat="1" ht="57.599998474121094" customHeight="1">
      <x:c r="A178" s="2" t="inlineStr">
        <x:is>
          <x:t xml:space="preserve">T-Head Hanguang 800</x:t>
        </x:is>
      </x:c>
      <x:c r="B178" s="2">
        <x:f>IFERROR(VLOOKUP(TRIM($A178),_classification_map!$A$2:$C$227,2,FALSE),"")</x:f>
        <x:v>800</x:v>
      </x:c>
      <x:c r="C178" s="2" t="str">
        <x:f>IFERROR(VLOOKUP(TRIM($A178),_classification_map!$A$2:$C$227,3,FALSE),"")</x:f>
        <x:v>Hanguang</x:v>
      </x:c>
      <x:c r="D178" s="2" t="inlineStr">
        <x:is>
          <x:t xml:space="preserve">Alibaba</x:t>
        </x:is>
      </x:c>
      <x:c r="E178" s="2" t="inlineStr">
        <x:is>
          <x:t xml:space="preserve">NPU</x:t>
        </x:is>
      </x:c>
      <x:c r="F178" s="2" t="inlineStr">
        <x:is>
          <x:t xml:space="preserve">https://img.102.alibaba.com/1622193035686/9898014ba4eb8adfd3f31db3b2cf26f3.pdf?spm=a2ouz.12987056.0.0.53519352dMhuEh&amp;file=9898014ba4eb8adfd3f31db3b2cf26f3.pdf</x:t>
        </x:is>
      </x:c>
      <x:c r="G178" s="2" t="inlineStr">
        <x:is>
          <x:t xml:space="preserve">2019-09-25</x:t>
        </x:is>
      </x:c>
      <x:c r="H178" s="3" t="n"/>
      <x:c r="I178" s="4" t="n"/>
      <x:c r="J178" s="4" t="n"/>
      <x:c r="K178" s="4" t="n"/>
      <x:c r="L178" s="4" t="n"/>
      <x:c r="M178" s="4" t="n"/>
      <x:c r="N178" s="4" t="n"/>
      <x:c r="O178" s="4" t="n"/>
      <x:c r="P178" s="5" t="n">
        <x:v>276</x:v>
      </x:c>
      <x:c r="Q178" s="4" t="n"/>
      <x:c r="R178" s="4" t="n"/>
      <x:c r="S178" s="4" t="n"/>
      <x:c r="T178" s="4" t="n"/>
      <x:c r="U178" s="4" t="n">
        <x:v>205000000000000</x:v>
      </x:c>
      <x:c r="V178" s="4" t="n">
        <x:v>825000000000000</x:v>
      </x:c>
      <x:c r="W178" s="4" t="n"/>
      <x:c r="X178" s="2" t="n"/>
      <x:c r="Y178" s="5" t="n"/>
      <x:c r="Z178" s="5" t="n"/>
      <x:c r="AA178" s="5" t="n"/>
      <x:c r="AB178" s="5" t="n"/>
      <x:c r="AC178" s="5" t="n"/>
      <x:c r="AD178" s="5" t="n"/>
      <x:c r="AE178" s="5" t="n">
        <x:v>12</x:v>
      </x:c>
      <x:c r="AF178" s="5" t="n"/>
      <x:c r="AG178" s="2" t="n"/>
      <x:c r="AH178" s="2" t="n"/>
      <x:c r="AI178" s="2" t="n"/>
      <x:c r="AJ178" s="2" t="inlineStr">
        <x:is>
          <x:t xml:space="preserve">2025-07-21 09:23:41+00:00</x:t>
        </x:is>
      </x:c>
      <x:c r="AK178" s="4" t="n">
        <x:v>825000000000000</x:v>
      </x:c>
      <x:c r="AL178" s="4" t="n">
        <x:v>2989130434782.61</x:v>
      </x:c>
      <x:c r="AM178" s="4" t="n">
        <x:v>6600000000000000</x:v>
      </x:c>
      <x:c r="AN178" s="4" t="n"/>
      <x:c r="AO178" s="4" t="n">
        <x:v>825000000000000</x:v>
      </x:c>
    </x:row>
    <x:row r="179" s="9" customFormat="1" ht="28.799999237060547" customHeight="1">
      <x:c r="A179" s="2" t="inlineStr">
        <x:is>
          <x:t xml:space="preserve">Intel Habana GAUDI HL-205</x:t>
        </x:is>
      </x:c>
      <x:c r="B179" s="2" t="str">
        <x:f>IFERROR(VLOOKUP(TRIM($A179),_classification_map!$A$2:$C$227,2,FALSE),"")</x:f>
        <x:v>Gaudi 1</x:v>
      </x:c>
      <x:c r="C179" s="2" t="str">
        <x:f>IFERROR(VLOOKUP(TRIM($A179),_classification_map!$A$2:$C$227,3,FALSE),"")</x:f>
        <x:v>Habana Gaudi</x:v>
      </x:c>
      <x:c r="D179" s="2" t="inlineStr">
        <x:is>
          <x:t xml:space="preserve">Intel</x:t>
        </x:is>
      </x:c>
      <x:c r="E179" s="2" t="n"/>
      <x:c r="F179" s="2" t="n"/>
      <x:c r="G179" s="2" t="inlineStr">
        <x:is>
          <x:t xml:space="preserve">2019-06-18</x:t>
        </x:is>
      </x:c>
      <x:c r="H179" s="3" t="n"/>
      <x:c r="I179" s="4" t="n"/>
      <x:c r="J179" s="4" t="n"/>
      <x:c r="K179" s="4" t="n"/>
      <x:c r="L179" s="4" t="n"/>
      <x:c r="M179" s="4" t="n"/>
      <x:c r="N179" s="4" t="n"/>
      <x:c r="O179" s="4" t="n"/>
      <x:c r="P179" s="5" t="n">
        <x:v>300</x:v>
      </x:c>
      <x:c r="Q179" s="4" t="n"/>
      <x:c r="R179" s="4" t="n"/>
      <x:c r="S179" s="4" t="n"/>
      <x:c r="T179" s="4" t="n"/>
      <x:c r="U179" s="4" t="n"/>
      <x:c r="V179" s="4" t="n"/>
      <x:c r="W179" s="4" t="n"/>
      <x:c r="X179" s="2" t="n"/>
      <x:c r="Y179" s="5" t="n"/>
      <x:c r="Z179" s="5" t="n"/>
      <x:c r="AA179" s="5" t="n"/>
      <x:c r="AB179" s="5" t="n"/>
      <x:c r="AC179" s="5" t="n"/>
      <x:c r="AD179" s="5" t="n"/>
      <x:c r="AE179" s="5" t="n"/>
      <x:c r="AF179" s="5" t="n"/>
      <x:c r="AG179" s="2" t="inlineStr">
        <x:is>
          <x:t xml:space="preserve">https://www.new-techeurope.com/2019/06/18/habana-labs-announces-gaudi-ai-training-processor/</x:t>
        </x:is>
      </x:c>
      <x:c r="AH179" s="2" t="n"/>
      <x:c r="AI179" s="2" t="n"/>
      <x:c r="AJ179" s="2" t="inlineStr">
        <x:is>
          <x:t xml:space="preserve">2025-05-09 20:39:54+00:00</x:t>
        </x:is>
      </x:c>
      <x:c r="AK179" s="4" t="n">
        <x:v>0</x:v>
      </x:c>
      <x:c r="AL179" s="4" t="n">
        <x:v>0</x:v>
      </x:c>
      <x:c r="AM179" s="4" t="n"/>
      <x:c r="AN179" s="4" t="n"/>
      <x:c r="AO179" s="4" t="n">
        <x:v>0</x:v>
      </x:c>
    </x:row>
    <x:row r="180">
      <x:c r="A180" s="2" t="inlineStr">
        <x:is>
          <x:t xml:space="preserve">NVIDIA RTX 5880 Ada Generation</x:t>
        </x:is>
      </x:c>
      <x:c r="B180" s="2" t="str">
        <x:f>IFERROR(VLOOKUP(TRIM($A180),_classification_map!$A$2:$C$227,2,FALSE),"")</x:f>
        <x:v>Ada Lovelace</x:v>
      </x:c>
      <x:c r="C180" s="2" t="str">
        <x:f>IFERROR(VLOOKUP(TRIM($A180),_classification_map!$A$2:$C$227,3,FALSE),"")</x:f>
        <x:v>RTX Workstation</x:v>
      </x:c>
      <x:c r="D180" s="2" t="inlineStr">
        <x:is>
          <x:t xml:space="preserve">NVIDIA</x:t>
        </x:is>
      </x:c>
      <x:c r="E180" s="2" t="inlineStr">
        <x:is>
          <x:t xml:space="preserve">GPU</x:t>
        </x:is>
      </x:c>
      <x:c r="F180" s="2" t="n"/>
      <x:c r="G180" s="2" t="n"/>
      <x:c r="H180" s="3" t="n"/>
      <x:c r="I180" s="4" t="n"/>
      <x:c r="J180" s="4" t="n"/>
      <x:c r="K180" s="4" t="n"/>
      <x:c r="L180" s="4" t="n">
        <x:v>48000000000</x:v>
      </x:c>
      <x:c r="M180" s="4" t="n"/>
      <x:c r="N180" s="4" t="n"/>
      <x:c r="O180" s="4" t="n"/>
      <x:c r="P180" s="5" t="n"/>
      <x:c r="Q180" s="4" t="n"/>
      <x:c r="R180" s="4" t="n"/>
      <x:c r="S180" s="4" t="n"/>
      <x:c r="T180" s="4" t="n"/>
      <x:c r="U180" s="4" t="n"/>
      <x:c r="V180" s="4" t="n"/>
      <x:c r="W180" s="4" t="n"/>
      <x:c r="X180" s="2" t="n"/>
      <x:c r="Y180" s="5" t="n"/>
      <x:c r="Z180" s="5" t="n"/>
      <x:c r="AA180" s="5" t="n"/>
      <x:c r="AB180" s="5" t="n"/>
      <x:c r="AC180" s="5" t="n"/>
      <x:c r="AD180" s="5" t="n"/>
      <x:c r="AE180" s="5" t="n"/>
      <x:c r="AF180" s="5" t="n"/>
      <x:c r="AG180" s="2" t="n"/>
      <x:c r="AH180" s="2" t="n"/>
      <x:c r="AI180" s="2" t="n"/>
      <x:c r="AJ180" s="2" t="n"/>
      <x:c r="AK180" s="4" t="n"/>
      <x:c r="AL180" s="4" t="n"/>
      <x:c r="AM180" s="4" t="n"/>
      <x:c r="AN180" s="4" t="n"/>
      <x:c r="AO180" s="4" t="n"/>
    </x:row>
    <x:row r="181">
      <x:c r="A181" s="2" t="inlineStr">
        <x:is>
          <x:t xml:space="preserve">NVIDIA GeForce GTX 1050</x:t>
        </x:is>
      </x:c>
      <x:c r="B181" s="2" t="str">
        <x:f>IFERROR(VLOOKUP(TRIM($A181),_classification_map!$A$2:$C$227,2,FALSE),"")</x:f>
        <x:v>Pascal</x:v>
      </x:c>
      <x:c r="C181" s="2" t="str">
        <x:f>IFERROR(VLOOKUP(TRIM($A181),_classification_map!$A$2:$C$227,3,FALSE),"")</x:f>
        <x:v>GeForce GTX</x:v>
      </x:c>
      <x:c r="D181" s="2" t="inlineStr">
        <x:is>
          <x:t xml:space="preserve">NVIDIA</x:t>
        </x:is>
      </x:c>
      <x:c r="E181" s="2" t="inlineStr">
        <x:is>
          <x:t xml:space="preserve">GPU</x:t>
        </x:is>
      </x:c>
      <x:c r="F181" s="2" t="n"/>
      <x:c r="G181" s="2" t="n"/>
      <x:c r="H181" s="3" t="n"/>
      <x:c r="I181" s="4" t="n"/>
      <x:c r="J181" s="4" t="n"/>
      <x:c r="K181" s="4" t="n"/>
      <x:c r="L181" s="4" t="n">
        <x:v>2000000000</x:v>
      </x:c>
      <x:c r="M181" s="4" t="n"/>
      <x:c r="N181" s="4" t="n"/>
      <x:c r="O181" s="4" t="n"/>
      <x:c r="P181" s="5" t="n"/>
      <x:c r="Q181" s="4" t="n"/>
      <x:c r="R181" s="4" t="n"/>
      <x:c r="S181" s="4" t="n"/>
      <x:c r="T181" s="4" t="n"/>
      <x:c r="U181" s="4" t="n"/>
      <x:c r="V181" s="4" t="n"/>
      <x:c r="W181" s="4" t="n"/>
      <x:c r="X181" s="2" t="n"/>
      <x:c r="Y181" s="5" t="n"/>
      <x:c r="Z181" s="5" t="n"/>
      <x:c r="AA181" s="5" t="n"/>
      <x:c r="AB181" s="5" t="n"/>
      <x:c r="AC181" s="5" t="n"/>
      <x:c r="AD181" s="5" t="n"/>
      <x:c r="AE181" s="5" t="n"/>
      <x:c r="AF181" s="5" t="n"/>
      <x:c r="AG181" s="2" t="n"/>
      <x:c r="AH181" s="2" t="n"/>
      <x:c r="AI181" s="2" t="n"/>
      <x:c r="AJ181" s="2" t="n"/>
      <x:c r="AK181" s="4" t="n"/>
      <x:c r="AL181" s="4" t="n"/>
      <x:c r="AM181" s="4" t="n"/>
      <x:c r="AN181" s="4" t="n"/>
      <x:c r="AO181" s="4" t="n"/>
    </x:row>
    <x:row r="182">
      <x:c r="A182" s="2" t="inlineStr">
        <x:is>
          <x:t xml:space="preserve">NVIDIA RTX 2000 Ada Generation</x:t>
        </x:is>
      </x:c>
      <x:c r="B182" s="2" t="str">
        <x:f>IFERROR(VLOOKUP(TRIM($A182),_classification_map!$A$2:$C$227,2,FALSE),"")</x:f>
        <x:v>Ada Lovelace</x:v>
      </x:c>
      <x:c r="C182" s="2" t="str">
        <x:f>IFERROR(VLOOKUP(TRIM($A182),_classification_map!$A$2:$C$227,3,FALSE),"")</x:f>
        <x:v>RTX Workstation</x:v>
      </x:c>
      <x:c r="D182" s="2" t="inlineStr">
        <x:is>
          <x:t xml:space="preserve">NVIDIA</x:t>
        </x:is>
      </x:c>
      <x:c r="E182" s="2" t="inlineStr">
        <x:is>
          <x:t xml:space="preserve">GPU</x:t>
        </x:is>
      </x:c>
      <x:c r="F182" s="2" t="n"/>
      <x:c r="G182" s="2" t="n"/>
      <x:c r="H182" s="3" t="n"/>
      <x:c r="I182" s="4" t="n"/>
      <x:c r="J182" s="4" t="n"/>
      <x:c r="K182" s="4" t="n"/>
      <x:c r="L182" s="4" t="n">
        <x:v>16000000000</x:v>
      </x:c>
      <x:c r="M182" s="4" t="n"/>
      <x:c r="N182" s="4" t="n"/>
      <x:c r="O182" s="4" t="n"/>
      <x:c r="P182" s="5" t="n"/>
      <x:c r="Q182" s="4" t="n"/>
      <x:c r="R182" s="4" t="n"/>
      <x:c r="S182" s="4" t="n"/>
      <x:c r="T182" s="4" t="n"/>
      <x:c r="U182" s="4" t="n"/>
      <x:c r="V182" s="4" t="n"/>
      <x:c r="W182" s="4" t="n"/>
      <x:c r="X182" s="2" t="n"/>
      <x:c r="Y182" s="5" t="n"/>
      <x:c r="Z182" s="5" t="n"/>
      <x:c r="AA182" s="5" t="n"/>
      <x:c r="AB182" s="5" t="n"/>
      <x:c r="AC182" s="5" t="n"/>
      <x:c r="AD182" s="5" t="n"/>
      <x:c r="AE182" s="5" t="n"/>
      <x:c r="AF182" s="5" t="n"/>
      <x:c r="AG182" s="2" t="n"/>
      <x:c r="AH182" s="2" t="n"/>
      <x:c r="AI182" s="2" t="n"/>
      <x:c r="AJ182" s="2" t="n"/>
      <x:c r="AK182" s="4" t="n"/>
      <x:c r="AL182" s="4" t="n"/>
      <x:c r="AM182" s="4" t="n"/>
      <x:c r="AN182" s="4" t="n"/>
      <x:c r="AO182" s="4" t="n"/>
    </x:row>
    <x:row r="183">
      <x:c r="A183" s="2" t="inlineStr">
        <x:is>
          <x:t xml:space="preserve">NVIDIA GeForce RTX 2080 Ti</x:t>
        </x:is>
      </x:c>
      <x:c r="B183" s="2" t="str">
        <x:f>IFERROR(VLOOKUP(TRIM($A183),_classification_map!$A$2:$C$227,2,FALSE),"")</x:f>
        <x:v>Turing</x:v>
      </x:c>
      <x:c r="C183" s="2" t="str">
        <x:f>IFERROR(VLOOKUP(TRIM($A183),_classification_map!$A$2:$C$227,3,FALSE),"")</x:f>
        <x:v>GeForce RTX</x:v>
      </x:c>
      <x:c r="D183" s="2" t="inlineStr">
        <x:is>
          <x:t xml:space="preserve">NVIDIA</x:t>
        </x:is>
      </x:c>
      <x:c r="E183" s="2" t="inlineStr">
        <x:is>
          <x:t xml:space="preserve">GPU</x:t>
        </x:is>
      </x:c>
      <x:c r="F183" s="2" t="n"/>
      <x:c r="G183" s="2" t="n"/>
      <x:c r="H183" s="3" t="n"/>
      <x:c r="I183" s="4" t="n">
        <x:v>113800000000000</x:v>
      </x:c>
      <x:c r="J183" s="4" t="n"/>
      <x:c r="K183" s="4" t="n"/>
      <x:c r="L183" s="4" t="n">
        <x:v>11000000000</x:v>
      </x:c>
      <x:c r="M183" s="4" t="n"/>
      <x:c r="N183" s="4" t="n"/>
      <x:c r="O183" s="4" t="n"/>
      <x:c r="P183" s="5" t="n"/>
      <x:c r="Q183" s="4" t="n"/>
      <x:c r="R183" s="4" t="n"/>
      <x:c r="S183" s="4" t="n"/>
      <x:c r="T183" s="4" t="n"/>
      <x:c r="U183" s="4" t="n"/>
      <x:c r="V183" s="4" t="n"/>
      <x:c r="W183" s="4" t="n"/>
      <x:c r="X183" s="2" t="n"/>
      <x:c r="Y183" s="5" t="n"/>
      <x:c r="Z183" s="5" t="n"/>
      <x:c r="AA183" s="5" t="n"/>
      <x:c r="AB183" s="5" t="n"/>
      <x:c r="AC183" s="5" t="n"/>
      <x:c r="AD183" s="5" t="n"/>
      <x:c r="AE183" s="5" t="n"/>
      <x:c r="AF183" s="5" t="n"/>
      <x:c r="AG183" s="2" t="n"/>
      <x:c r="AH183" s="2" t="n"/>
      <x:c r="AI183" s="2" t="n"/>
      <x:c r="AJ183" s="2" t="n"/>
      <x:c r="AK183" s="4" t="n"/>
      <x:c r="AL183" s="4" t="n"/>
      <x:c r="AM183" s="4" t="n"/>
      <x:c r="AN183" s="4" t="n"/>
      <x:c r="AO183" s="4" t="n"/>
    </x:row>
    <x:row r="184">
      <x:c r="A184" s="2" t="inlineStr">
        <x:is>
          <x:t xml:space="preserve">NVIDIA GeForce RTX 5090</x:t>
        </x:is>
      </x:c>
      <x:c r="B184" s="2" t="str">
        <x:f>IFERROR(VLOOKUP(TRIM($A184),_classification_map!$A$2:$C$227,2,FALSE),"")</x:f>
        <x:v>Blackwell</x:v>
      </x:c>
      <x:c r="C184" s="2" t="str">
        <x:f>IFERROR(VLOOKUP(TRIM($A184),_classification_map!$A$2:$C$227,3,FALSE),"")</x:f>
        <x:v>GeForce RTX</x:v>
      </x:c>
      <x:c r="D184" s="2" t="inlineStr">
        <x:is>
          <x:t xml:space="preserve">NVIDIA</x:t>
        </x:is>
      </x:c>
      <x:c r="E184" s="2" t="inlineStr">
        <x:is>
          <x:t xml:space="preserve">GPU</x:t>
        </x:is>
      </x:c>
      <x:c r="F184" s="2" t="n"/>
      <x:c r="G184" s="2" t="n"/>
      <x:c r="H184" s="3" t="n"/>
      <x:c r="I184" s="4" t="n">
        <x:v>419000000000000</x:v>
      </x:c>
      <x:c r="J184" s="4" t="n"/>
      <x:c r="K184" s="4" t="n"/>
      <x:c r="L184" s="4" t="n">
        <x:v>32000000000</x:v>
      </x:c>
      <x:c r="M184" s="4" t="n"/>
      <x:c r="N184" s="4" t="n"/>
      <x:c r="O184" s="4" t="n"/>
      <x:c r="P184" s="5" t="n"/>
      <x:c r="Q184" s="4" t="n"/>
      <x:c r="R184" s="4" t="n"/>
      <x:c r="S184" s="4" t="n"/>
      <x:c r="T184" s="4" t="n"/>
      <x:c r="U184" s="4" t="n"/>
      <x:c r="V184" s="4" t="n"/>
      <x:c r="W184" s="4" t="n"/>
      <x:c r="X184" s="2" t="n"/>
      <x:c r="Y184" s="5" t="n"/>
      <x:c r="Z184" s="5" t="n"/>
      <x:c r="AA184" s="5" t="n"/>
      <x:c r="AB184" s="5" t="n"/>
      <x:c r="AC184" s="5" t="n"/>
      <x:c r="AD184" s="5" t="n"/>
      <x:c r="AE184" s="5" t="n"/>
      <x:c r="AF184" s="5" t="n"/>
      <x:c r="AG184" s="2" t="n"/>
      <x:c r="AH184" s="2" t="n"/>
      <x:c r="AI184" s="2" t="n"/>
      <x:c r="AJ184" s="2" t="n"/>
      <x:c r="AK184" s="4" t="n"/>
      <x:c r="AL184" s="4" t="n"/>
      <x:c r="AM184" s="4" t="n"/>
      <x:c r="AN184" s="4" t="n"/>
      <x:c r="AO184" s="4" t="n"/>
    </x:row>
    <x:row r="185">
      <x:c r="A185" s="2" t="inlineStr">
        <x:is>
          <x:t xml:space="preserve">NVIDIA GeForce RTX 3060 Ti</x:t>
        </x:is>
      </x:c>
      <x:c r="B185" s="2" t="str">
        <x:f>IFERROR(VLOOKUP(TRIM($A185),_classification_map!$A$2:$C$227,2,FALSE),"")</x:f>
        <x:v>Ampere</x:v>
      </x:c>
      <x:c r="C185" s="2" t="str">
        <x:f>IFERROR(VLOOKUP(TRIM($A185),_classification_map!$A$2:$C$227,3,FALSE),"")</x:f>
        <x:v>GeForce RTX</x:v>
      </x:c>
      <x:c r="D185" s="2" t="inlineStr">
        <x:is>
          <x:t xml:space="preserve">NVIDIA</x:t>
        </x:is>
      </x:c>
      <x:c r="E185" s="2" t="inlineStr">
        <x:is>
          <x:t xml:space="preserve">GPU</x:t>
        </x:is>
      </x:c>
      <x:c r="F185" s="2" t="n"/>
      <x:c r="G185" s="2" t="n"/>
      <x:c r="H185" s="3" t="n"/>
      <x:c r="I185" s="4" t="n">
        <x:v>71000000000000</x:v>
      </x:c>
      <x:c r="J185" s="4" t="n"/>
      <x:c r="K185" s="4" t="n"/>
      <x:c r="L185" s="4" t="n">
        <x:v>8000000000</x:v>
      </x:c>
      <x:c r="M185" s="4" t="n"/>
      <x:c r="N185" s="4" t="n"/>
      <x:c r="O185" s="4" t="n"/>
      <x:c r="P185" s="5" t="n"/>
      <x:c r="Q185" s="4" t="n"/>
      <x:c r="R185" s="4" t="n"/>
      <x:c r="S185" s="4" t="n"/>
      <x:c r="T185" s="4" t="n"/>
      <x:c r="U185" s="4" t="n"/>
      <x:c r="V185" s="4" t="n"/>
      <x:c r="W185" s="4" t="n"/>
      <x:c r="X185" s="2" t="n"/>
      <x:c r="Y185" s="5" t="n"/>
      <x:c r="Z185" s="5" t="n"/>
      <x:c r="AA185" s="5" t="n"/>
      <x:c r="AB185" s="5" t="n"/>
      <x:c r="AC185" s="5" t="n"/>
      <x:c r="AD185" s="5" t="n"/>
      <x:c r="AE185" s="5" t="n"/>
      <x:c r="AF185" s="5" t="n"/>
      <x:c r="AG185" s="2" t="n"/>
      <x:c r="AH185" s="2" t="n"/>
      <x:c r="AI185" s="2" t="n"/>
      <x:c r="AJ185" s="2" t="n"/>
      <x:c r="AK185" s="4" t="n"/>
      <x:c r="AL185" s="4" t="n"/>
      <x:c r="AM185" s="4" t="n"/>
      <x:c r="AN185" s="4" t="n"/>
      <x:c r="AO185" s="4" t="n"/>
    </x:row>
    <x:row r="186">
      <x:c r="A186" s="2" t="inlineStr">
        <x:is>
          <x:t xml:space="preserve">NVIDIA GeForce RTX 4070 Ti</x:t>
        </x:is>
      </x:c>
      <x:c r="B186" s="2" t="str">
        <x:f>IFERROR(VLOOKUP(TRIM($A186),_classification_map!$A$2:$C$227,2,FALSE),"")</x:f>
        <x:v>Ada Lovelace</x:v>
      </x:c>
      <x:c r="C186" s="2" t="str">
        <x:f>IFERROR(VLOOKUP(TRIM($A186),_classification_map!$A$2:$C$227,3,FALSE),"")</x:f>
        <x:v>GeForce RTX</x:v>
      </x:c>
      <x:c r="D186" s="2" t="inlineStr">
        <x:is>
          <x:t xml:space="preserve">NVIDIA</x:t>
        </x:is>
      </x:c>
      <x:c r="E186" s="2" t="inlineStr">
        <x:is>
          <x:t xml:space="preserve">GPU</x:t>
        </x:is>
      </x:c>
      <x:c r="F186" s="2" t="n"/>
      <x:c r="G186" s="2" t="n"/>
      <x:c r="H186" s="3" t="n"/>
      <x:c r="I186" s="4" t="n">
        <x:v>160400000000000</x:v>
      </x:c>
      <x:c r="J186" s="4" t="n"/>
      <x:c r="K186" s="4" t="n"/>
      <x:c r="L186" s="4" t="n">
        <x:v>12000000000</x:v>
      </x:c>
      <x:c r="M186" s="4" t="n"/>
      <x:c r="N186" s="4" t="n"/>
      <x:c r="O186" s="4" t="n"/>
      <x:c r="P186" s="5" t="n"/>
      <x:c r="Q186" s="4" t="n"/>
      <x:c r="R186" s="4" t="n"/>
      <x:c r="S186" s="4" t="n"/>
      <x:c r="T186" s="4" t="n"/>
      <x:c r="U186" s="4" t="n"/>
      <x:c r="V186" s="4" t="n"/>
      <x:c r="W186" s="4" t="n"/>
      <x:c r="X186" s="2" t="n"/>
      <x:c r="Y186" s="5" t="n"/>
      <x:c r="Z186" s="5" t="n"/>
      <x:c r="AA186" s="5" t="n"/>
      <x:c r="AB186" s="5" t="n"/>
      <x:c r="AC186" s="5" t="n"/>
      <x:c r="AD186" s="5" t="n"/>
      <x:c r="AE186" s="5" t="n"/>
      <x:c r="AF186" s="5" t="n"/>
      <x:c r="AG186" s="2" t="n"/>
      <x:c r="AH186" s="2" t="n"/>
      <x:c r="AI186" s="2" t="n"/>
      <x:c r="AJ186" s="2" t="n"/>
      <x:c r="AK186" s="4" t="n"/>
      <x:c r="AL186" s="4" t="n"/>
      <x:c r="AM186" s="4" t="n"/>
      <x:c r="AN186" s="4" t="n"/>
      <x:c r="AO186" s="4" t="n"/>
    </x:row>
    <x:row r="187">
      <x:c r="A187" s="2" t="inlineStr">
        <x:is>
          <x:t xml:space="preserve">NVIDIA GeForce RTX 2080 SUPER</x:t>
        </x:is>
      </x:c>
      <x:c r="B187" s="2" t="str">
        <x:f>IFERROR(VLOOKUP(TRIM($A187),_classification_map!$A$2:$C$227,2,FALSE),"")</x:f>
        <x:v>Turing</x:v>
      </x:c>
      <x:c r="C187" s="2" t="str">
        <x:f>IFERROR(VLOOKUP(TRIM($A187),_classification_map!$A$2:$C$227,3,FALSE),"")</x:f>
        <x:v>GeForce RTX</x:v>
      </x:c>
      <x:c r="D187" s="2" t="inlineStr">
        <x:is>
          <x:t xml:space="preserve">NVIDIA</x:t>
        </x:is>
      </x:c>
      <x:c r="E187" s="2" t="inlineStr">
        <x:is>
          <x:t xml:space="preserve">GPU</x:t>
        </x:is>
      </x:c>
      <x:c r="F187" s="2" t="n"/>
      <x:c r="G187" s="2" t="n"/>
      <x:c r="H187" s="3" t="n"/>
      <x:c r="I187" s="4" t="n">
        <x:v>89000000000000</x:v>
      </x:c>
      <x:c r="J187" s="4" t="n"/>
      <x:c r="K187" s="4" t="n"/>
      <x:c r="L187" s="4" t="n">
        <x:v>8000000000</x:v>
      </x:c>
      <x:c r="M187" s="4" t="n"/>
      <x:c r="N187" s="4" t="n"/>
      <x:c r="O187" s="4" t="n"/>
      <x:c r="P187" s="5" t="n"/>
      <x:c r="Q187" s="4" t="n"/>
      <x:c r="R187" s="4" t="n"/>
      <x:c r="S187" s="4" t="n"/>
      <x:c r="T187" s="4" t="n"/>
      <x:c r="U187" s="4" t="n"/>
      <x:c r="V187" s="4" t="n"/>
      <x:c r="W187" s="4" t="n"/>
      <x:c r="X187" s="2" t="n"/>
      <x:c r="Y187" s="5" t="n"/>
      <x:c r="Z187" s="5" t="n"/>
      <x:c r="AA187" s="5" t="n"/>
      <x:c r="AB187" s="5" t="n"/>
      <x:c r="AC187" s="5" t="n"/>
      <x:c r="AD187" s="5" t="n"/>
      <x:c r="AE187" s="5" t="n"/>
      <x:c r="AF187" s="5" t="n"/>
      <x:c r="AG187" s="2" t="n"/>
      <x:c r="AH187" s="2" t="n"/>
      <x:c r="AI187" s="2" t="n"/>
      <x:c r="AJ187" s="2" t="n"/>
      <x:c r="AK187" s="4" t="n"/>
      <x:c r="AL187" s="4" t="n"/>
      <x:c r="AM187" s="4" t="n"/>
      <x:c r="AN187" s="4" t="n"/>
      <x:c r="AO187" s="4" t="n"/>
    </x:row>
    <x:row r="188">
      <x:c r="A188" s="2" t="inlineStr">
        <x:is>
          <x:t xml:space="preserve">NVIDIA Tesla P100 SXM2</x:t>
        </x:is>
      </x:c>
      <x:c r="B188" s="2" t="str">
        <x:f>IFERROR(VLOOKUP(TRIM($A188),_classification_map!$A$2:$C$227,2,FALSE),"")</x:f>
        <x:v>Pascal</x:v>
      </x:c>
      <x:c r="C188" s="2" t="str">
        <x:f>IFERROR(VLOOKUP(TRIM($A188),_classification_map!$A$2:$C$227,3,FALSE),"")</x:f>
        <x:v>Tesla</x:v>
      </x:c>
      <x:c r="D188" s="2" t="inlineStr">
        <x:is>
          <x:t xml:space="preserve">NVIDIA</x:t>
        </x:is>
      </x:c>
      <x:c r="E188" s="2" t="inlineStr">
        <x:is>
          <x:t xml:space="preserve">GPU</x:t>
        </x:is>
      </x:c>
      <x:c r="F188" s="2" t="n"/>
      <x:c r="G188" s="2" t="inlineStr">
        <x:is>
          <x:t xml:space="preserve">2016-04-05</x:t>
        </x:is>
      </x:c>
      <x:c r="H188" s="3" t="n"/>
      <x:c r="I188" s="4" t="n"/>
      <x:c r="J188" s="4" t="n"/>
      <x:c r="K188" s="4" t="n"/>
      <x:c r="L188" s="4" t="n"/>
      <x:c r="M188" s="4" t="n"/>
      <x:c r="N188" s="4" t="n"/>
      <x:c r="O188" s="4" t="n"/>
      <x:c r="P188" s="5" t="n">
        <x:v>300</x:v>
      </x:c>
      <x:c r="Q188" s="4" t="n">
        <x:v>5304000000000</x:v>
      </x:c>
      <x:c r="R188" s="4" t="n">
        <x:v>10610000000000</x:v>
      </x:c>
      <x:c r="S188" s="4" t="n"/>
      <x:c r="T188" s="4" t="n">
        <x:v>21220000000000</x:v>
      </x:c>
      <x:c r="U188" s="4" t="n"/>
      <x:c r="V188" s="4" t="n"/>
      <x:c r="W188" s="4" t="n"/>
      <x:c r="X188" s="2" t="inlineStr">
        <x:is>
          <x:t xml:space="preserve">TSMC</x:t>
        </x:is>
      </x:c>
      <x:c r="Y188" s="5" t="n">
        <x:v>610</x:v>
      </x:c>
      <x:c r="Z188" s="5" t="n">
        <x:v>1328</x:v>
      </x:c>
      <x:c r="AA188" s="5" t="n"/>
      <x:c r="AB188" s="5" t="n"/>
      <x:c r="AC188" s="5" t="n"/>
      <x:c r="AD188" s="5" t="n"/>
      <x:c r="AE188" s="5" t="n">
        <x:v>16</x:v>
      </x:c>
      <x:c r="AF188" s="5" t="n">
        <x:v>15300</x:v>
      </x:c>
      <x:c r="AG188" s="2" t="n"/>
      <x:c r="AH188" s="2" t="n"/>
      <x:c r="AI188" s="2" t="n"/>
      <x:c r="AJ188" s="2" t="inlineStr">
        <x:is>
          <x:t xml:space="preserve">2025-10-29 21:56:40+00:00</x:t>
        </x:is>
      </x:c>
      <x:c r="AK188" s="4" t="n">
        <x:v>21220000000000</x:v>
      </x:c>
      <x:c r="AL188" s="4" t="n">
        <x:v>70733333333.3333</x:v>
      </x:c>
      <x:c r="AM188" s="4" t="n">
        <x:v>339520000000000</x:v>
      </x:c>
      <x:c r="AN188" s="4" t="n"/>
      <x:c r="AO188" s="4" t="n">
        <x:v>21220000000000</x:v>
      </x:c>
    </x:row>
    <x:row r="189">
      <x:c r="A189" s="2" t="inlineStr">
        <x:is>
          <x:t xml:space="preserve">NVIDIA Tesla K20X</x:t>
        </x:is>
      </x:c>
      <x:c r="B189" s="2" t="str">
        <x:f>IFERROR(VLOOKUP(TRIM($A189),_classification_map!$A$2:$C$227,2,FALSE),"")</x:f>
        <x:v>Kepler</x:v>
      </x:c>
      <x:c r="C189" s="2" t="str">
        <x:f>IFERROR(VLOOKUP(TRIM($A189),_classification_map!$A$2:$C$227,3,FALSE),"")</x:f>
        <x:v>Tesla</x:v>
      </x:c>
      <x:c r="D189" s="2" t="inlineStr">
        <x:is>
          <x:t xml:space="preserve">NVIDIA</x:t>
        </x:is>
      </x:c>
      <x:c r="E189" s="2" t="inlineStr">
        <x:is>
          <x:t xml:space="preserve">GPU</x:t>
        </x:is>
      </x:c>
      <x:c r="F189" s="2" t="n"/>
      <x:c r="G189" s="2" t="inlineStr">
        <x:is>
          <x:t xml:space="preserve">2012-11-12</x:t>
        </x:is>
      </x:c>
      <x:c r="H189" s="3" t="n">
        <x:v>7699</x:v>
      </x:c>
      <x:c r="I189" s="4" t="n"/>
      <x:c r="J189" s="4" t="n"/>
      <x:c r="K189" s="4" t="n"/>
      <x:c r="L189" s="4" t="n"/>
      <x:c r="M189" s="4" t="n"/>
      <x:c r="N189" s="4" t="n"/>
      <x:c r="O189" s="4" t="n"/>
      <x:c r="P189" s="5" t="n">
        <x:v>235</x:v>
      </x:c>
      <x:c r="Q189" s="4" t="n">
        <x:v>1312000000000</x:v>
      </x:c>
      <x:c r="R189" s="4" t="n">
        <x:v>3935000000000</x:v>
      </x:c>
      <x:c r="S189" s="4" t="n"/>
      <x:c r="T189" s="4" t="n"/>
      <x:c r="U189" s="4" t="n"/>
      <x:c r="V189" s="4" t="n"/>
      <x:c r="W189" s="4" t="n"/>
      <x:c r="X189" s="2" t="inlineStr">
        <x:is>
          <x:t xml:space="preserve">TSMC</x:t>
        </x:is>
      </x:c>
      <x:c r="Y189" s="5" t="n">
        <x:v>561</x:v>
      </x:c>
      <x:c r="Z189" s="5" t="n">
        <x:v>732</x:v>
      </x:c>
      <x:c r="AA189" s="5" t="n"/>
      <x:c r="AB189" s="5" t="n"/>
      <x:c r="AC189" s="5" t="n"/>
      <x:c r="AD189" s="5" t="n"/>
      <x:c r="AE189" s="5" t="n">
        <x:v>28</x:v>
      </x:c>
      <x:c r="AF189" s="5" t="n">
        <x:v>7080</x:v>
      </x:c>
      <x:c r="AG189" s="2" t="n"/>
      <x:c r="AH189" s="2" t="inlineStr">
        <x:is>
          <x:t xml:space="preserve">https://archive.ph/Jxl43</x:t>
        </x:is>
      </x:c>
      <x:c r="AI189" s="2" t="inlineStr">
        <x:is>
          <x:t xml:space="preserve">OverFeat</x:t>
        </x:is>
      </x:c>
      <x:c r="AJ189" s="2" t="inlineStr">
        <x:is>
          <x:t xml:space="preserve">2026-03-18 12:56:18+00:00</x:t>
        </x:is>
      </x:c>
      <x:c r="AK189" s="4" t="n">
        <x:v>3935000000000</x:v>
      </x:c>
      <x:c r="AL189" s="4" t="n">
        <x:v>16744680851.0638</x:v>
      </x:c>
      <x:c r="AM189" s="4" t="n">
        <x:v>125920000000000</x:v>
      </x:c>
      <x:c r="AN189" s="4" t="n">
        <x:v>511105338.355631</x:v>
      </x:c>
      <x:c r="AO189" s="4" t="n">
        <x:v>3935000000000</x:v>
      </x:c>
    </x:row>
    <x:row r="190">
      <x:c r="A190" s="2" t="inlineStr">
        <x:is>
          <x:t xml:space="preserve">NVIDIA Tesla C2050</x:t>
        </x:is>
      </x:c>
      <x:c r="B190" s="2" t="str">
        <x:f>IFERROR(VLOOKUP(TRIM($A190),_classification_map!$A$2:$C$227,2,FALSE),"")</x:f>
        <x:v>Fermi</x:v>
      </x:c>
      <x:c r="C190" s="2" t="str">
        <x:f>IFERROR(VLOOKUP(TRIM($A190),_classification_map!$A$2:$C$227,3,FALSE),"")</x:f>
        <x:v>Tesla</x:v>
      </x:c>
      <x:c r="D190" s="2" t="inlineStr">
        <x:is>
          <x:t xml:space="preserve">NVIDIA</x:t>
        </x:is>
      </x:c>
      <x:c r="E190" s="2" t="inlineStr">
        <x:is>
          <x:t xml:space="preserve">GPU</x:t>
        </x:is>
      </x:c>
      <x:c r="F190" s="2" t="n"/>
      <x:c r="G190" s="2" t="inlineStr">
        <x:is>
          <x:t xml:space="preserve">2011-07-25</x:t>
        </x:is>
      </x:c>
      <x:c r="H190" s="3" t="n"/>
      <x:c r="I190" s="4" t="n"/>
      <x:c r="J190" s="4" t="n"/>
      <x:c r="K190" s="4" t="n"/>
      <x:c r="L190" s="4" t="n"/>
      <x:c r="M190" s="4" t="n"/>
      <x:c r="N190" s="4" t="n"/>
      <x:c r="O190" s="4" t="n"/>
      <x:c r="P190" s="5" t="n">
        <x:v>238</x:v>
      </x:c>
      <x:c r="Q190" s="4" t="n">
        <x:v>513900000000</x:v>
      </x:c>
      <x:c r="R190" s="4" t="n">
        <x:v>1028000000000</x:v>
      </x:c>
      <x:c r="S190" s="4" t="n"/>
      <x:c r="T190" s="4" t="n"/>
      <x:c r="U190" s="4" t="n"/>
      <x:c r="V190" s="4" t="n"/>
      <x:c r="W190" s="4" t="n"/>
      <x:c r="X190" s="2" t="inlineStr">
        <x:is>
          <x:t xml:space="preserve">TSMC</x:t>
        </x:is>
      </x:c>
      <x:c r="Y190" s="5" t="n">
        <x:v>529</x:v>
      </x:c>
      <x:c r="Z190" s="5" t="n">
        <x:v>574</x:v>
      </x:c>
      <x:c r="AA190" s="5" t="n"/>
      <x:c r="AB190" s="5" t="n"/>
      <x:c r="AC190" s="5" t="n"/>
      <x:c r="AD190" s="5" t="n"/>
      <x:c r="AE190" s="5" t="n">
        <x:v>40</x:v>
      </x:c>
      <x:c r="AF190" s="5" t="n">
        <x:v>3100</x:v>
      </x:c>
      <x:c r="AG190" s="2" t="n"/>
      <x:c r="AH190" s="2" t="n"/>
      <x:c r="AI190" s="2" t="n"/>
      <x:c r="AJ190" s="2" t="inlineStr">
        <x:is>
          <x:t xml:space="preserve">2025-07-21 10:03:40+00:00</x:t>
        </x:is>
      </x:c>
      <x:c r="AK190" s="4" t="n">
        <x:v>1028000000000</x:v>
      </x:c>
      <x:c r="AL190" s="4" t="n">
        <x:v>4319327731.09244</x:v>
      </x:c>
      <x:c r="AM190" s="4" t="n">
        <x:v>32896000000000</x:v>
      </x:c>
      <x:c r="AN190" s="4" t="n"/>
      <x:c r="AO190" s="4" t="n">
        <x:v>1028000000000</x:v>
      </x:c>
    </x:row>
    <x:row r="191">
      <x:c r="A191" s="2" t="inlineStr">
        <x:is>
          <x:t xml:space="preserve">NVIDIA TITAN RTX</x:t>
        </x:is>
      </x:c>
      <x:c r="B191" s="2" t="str">
        <x:f>IFERROR(VLOOKUP(TRIM($A191),_classification_map!$A$2:$C$227,2,FALSE),"")</x:f>
        <x:v>Turing</x:v>
      </x:c>
      <x:c r="C191" s="2" t="str">
        <x:f>IFERROR(VLOOKUP(TRIM($A191),_classification_map!$A$2:$C$227,3,FALSE),"")</x:f>
        <x:v>TITAN</x:v>
      </x:c>
      <x:c r="D191" s="2" t="inlineStr">
        <x:is>
          <x:t xml:space="preserve">NVIDIA</x:t>
        </x:is>
      </x:c>
      <x:c r="E191" s="2" t="inlineStr">
        <x:is>
          <x:t xml:space="preserve">GPU</x:t>
        </x:is>
      </x:c>
      <x:c r="F191" s="2" t="n"/>
      <x:c r="G191" s="2" t="n"/>
      <x:c r="H191" s="3" t="n"/>
      <x:c r="I191" s="4" t="n">
        <x:v>130500000000000</x:v>
      </x:c>
      <x:c r="J191" s="4" t="n"/>
      <x:c r="K191" s="4" t="n"/>
      <x:c r="L191" s="4" t="n">
        <x:v>24000000000</x:v>
      </x:c>
      <x:c r="M191" s="4" t="n"/>
      <x:c r="N191" s="4" t="n"/>
      <x:c r="O191" s="4" t="n"/>
      <x:c r="P191" s="5" t="n"/>
      <x:c r="Q191" s="4" t="n"/>
      <x:c r="R191" s="4" t="n"/>
      <x:c r="S191" s="4" t="n"/>
      <x:c r="T191" s="4" t="n"/>
      <x:c r="U191" s="4" t="n"/>
      <x:c r="V191" s="4" t="n"/>
      <x:c r="W191" s="4" t="n"/>
      <x:c r="X191" s="2" t="n"/>
      <x:c r="Y191" s="5" t="n"/>
      <x:c r="Z191" s="5" t="n"/>
      <x:c r="AA191" s="5" t="n"/>
      <x:c r="AB191" s="5" t="n"/>
      <x:c r="AC191" s="5" t="n"/>
      <x:c r="AD191" s="5" t="n"/>
      <x:c r="AE191" s="5" t="n"/>
      <x:c r="AF191" s="5" t="n"/>
      <x:c r="AG191" s="2" t="n"/>
      <x:c r="AH191" s="2" t="n"/>
      <x:c r="AI191" s="2" t="n"/>
      <x:c r="AJ191" s="2" t="n"/>
      <x:c r="AK191" s="4" t="n"/>
      <x:c r="AL191" s="4" t="n"/>
      <x:c r="AM191" s="4" t="n"/>
      <x:c r="AN191" s="4" t="n"/>
      <x:c r="AO191" s="4" t="n"/>
    </x:row>
    <x:row r="192">
      <x:c r="A192" s="2" t="inlineStr">
        <x:is>
          <x:t xml:space="preserve">Huawei Ascend 800T A2</x:t>
        </x:is>
      </x:c>
      <x:c r="B192" s="2" t="str">
        <x:f>IFERROR(VLOOKUP(TRIM($A192),_classification_map!$A$2:$C$227,2,FALSE),"")</x:f>
        <x:v>Ascend 800T A2</x:v>
      </x:c>
      <x:c r="C192" s="2" t="str">
        <x:f>IFERROR(VLOOKUP(TRIM($A192),_classification_map!$A$2:$C$227,3,FALSE),"")</x:f>
        <x:v>Ascend</x:v>
      </x:c>
      <x:c r="D192" s="2" t="inlineStr">
        <x:is>
          <x:t xml:space="preserve">Huawei</x:t>
        </x:is>
      </x:c>
      <x:c r="E192" s="2" t="inlineStr">
        <x:is>
          <x:t xml:space="preserve">GPU</x:t>
        </x:is>
      </x:c>
      <x:c r="F192" s="2" t="n"/>
      <x:c r="G192" s="2" t="n"/>
      <x:c r="H192" s="3" t="n"/>
      <x:c r="I192" s="4" t="n"/>
      <x:c r="J192" s="4" t="n"/>
      <x:c r="K192" s="4" t="n"/>
      <x:c r="L192" s="4" t="n"/>
      <x:c r="M192" s="4" t="n"/>
      <x:c r="N192" s="4" t="n"/>
      <x:c r="O192" s="4" t="n"/>
      <x:c r="P192" s="5" t="n">
        <x:v>310</x:v>
      </x:c>
      <x:c r="Q192" s="4" t="n"/>
      <x:c r="R192" s="4" t="n"/>
      <x:c r="S192" s="4" t="n"/>
      <x:c r="T192" s="4" t="n">
        <x:v>256000000000000</x:v>
      </x:c>
      <x:c r="U192" s="4" t="n"/>
      <x:c r="V192" s="4" t="n">
        <x:v>512000000000000</x:v>
      </x:c>
      <x:c r="W192" s="4" t="n"/>
      <x:c r="X192" s="2" t="n"/>
      <x:c r="Y192" s="5" t="n"/>
      <x:c r="Z192" s="5" t="n"/>
      <x:c r="AA192" s="5" t="n"/>
      <x:c r="AB192" s="5" t="n"/>
      <x:c r="AC192" s="5" t="n"/>
      <x:c r="AD192" s="5" t="n"/>
      <x:c r="AE192" s="5" t="n"/>
      <x:c r="AF192" s="5" t="n"/>
      <x:c r="AG192" s="2" t="inlineStr">
        <x:is>
          <x:t xml:space="preserve">https://arxiv.org/pdf/2505.21411</x:t>
        </x:is>
      </x:c>
      <x:c r="AH192" s="2" t="n"/>
      <x:c r="AI192" s="2" t="inlineStr">
        <x:is>
          <x:t xml:space="preserve">Pangu Pro MoE</x:t>
        </x:is>
      </x:c>
      <x:c r="AJ192" s="2" t="inlineStr">
        <x:is>
          <x:t xml:space="preserve">2026-03-18 12:56:18+00:00</x:t>
        </x:is>
      </x:c>
      <x:c r="AK192" s="4" t="n">
        <x:v>512000000000000</x:v>
      </x:c>
      <x:c r="AL192" s="4" t="n">
        <x:v>1651612903225.81</x:v>
      </x:c>
      <x:c r="AM192" s="4" t="n"/>
      <x:c r="AN192" s="4" t="n"/>
      <x:c r="AO192" s="4" t="n">
        <x:v>512000000000000</x:v>
      </x:c>
    </x:row>
    <x:row r="193">
      <x:c r="A193" s="2" t="inlineStr">
        <x:is>
          <x:t xml:space="preserve">Cambricon Siyuan 690</x:t>
        </x:is>
      </x:c>
      <x:c r="B193" s="2" t="str">
        <x:f>IFERROR(VLOOKUP(TRIM($A193),_classification_map!$A$2:$C$227,2,FALSE),"")</x:f>
        <x:v>Siyuan 690</x:v>
      </x:c>
      <x:c r="C193" s="2" t="str">
        <x:f>IFERROR(VLOOKUP(TRIM($A193),_classification_map!$A$2:$C$227,3,FALSE),"")</x:f>
        <x:v>Siyuan</x:v>
      </x:c>
      <x:c r="D193" s="2" t="inlineStr">
        <x:is>
          <x:t xml:space="preserve">Cambricon</x:t>
        </x:is>
      </x:c>
      <x:c r="E193" s="2" t="n"/>
      <x:c r="F193" s="2" t="n"/>
      <x:c r="G193" s="2" t="n"/>
      <x:c r="H193" s="3" t="n"/>
      <x:c r="I193" s="4" t="n"/>
      <x:c r="J193" s="4" t="n"/>
      <x:c r="K193" s="4" t="n"/>
      <x:c r="L193" s="4" t="n"/>
      <x:c r="M193" s="4" t="n"/>
      <x:c r="N193" s="4" t="n"/>
      <x:c r="O193" s="4" t="n"/>
      <x:c r="P193" s="5" t="n"/>
      <x:c r="Q193" s="4" t="n"/>
      <x:c r="R193" s="4" t="n"/>
      <x:c r="S193" s="4" t="n"/>
      <x:c r="T193" s="4" t="n"/>
      <x:c r="U193" s="4" t="n"/>
      <x:c r="V193" s="4" t="n"/>
      <x:c r="W193" s="4" t="n"/>
      <x:c r="X193" s="2" t="n"/>
      <x:c r="Y193" s="5" t="n"/>
      <x:c r="Z193" s="5" t="n"/>
      <x:c r="AA193" s="5" t="n"/>
      <x:c r="AB193" s="5" t="n"/>
      <x:c r="AC193" s="5" t="n"/>
      <x:c r="AD193" s="5" t="n"/>
      <x:c r="AE193" s="5" t="n"/>
      <x:c r="AF193" s="5" t="n"/>
      <x:c r="AG193" s="2" t="n"/>
      <x:c r="AH193" s="2" t="n"/>
      <x:c r="AI193" s="2" t="n"/>
      <x:c r="AJ193" s="2" t="inlineStr">
        <x:is>
          <x:t xml:space="preserve">2026-01-30 19:25:26+00:00</x:t>
        </x:is>
      </x:c>
      <x:c r="AK193" s="4" t="n">
        <x:v>0</x:v>
      </x:c>
      <x:c r="AL193" s="4" t="n"/>
      <x:c r="AM193" s="4" t="n"/>
      <x:c r="AN193" s="4" t="n"/>
      <x:c r="AO193" s="4" t="n">
        <x:v>0</x:v>
      </x:c>
    </x:row>
    <x:row r="194">
      <x:c r="A194" s="2" t="inlineStr">
        <x:is>
          <x:t xml:space="preserve">NVIDIA GeForce GTX 1070</x:t>
        </x:is>
      </x:c>
      <x:c r="B194" s="2" t="str">
        <x:f>IFERROR(VLOOKUP(TRIM($A194),_classification_map!$A$2:$C$227,2,FALSE),"")</x:f>
        <x:v>Pascal</x:v>
      </x:c>
      <x:c r="C194" s="2" t="str">
        <x:f>IFERROR(VLOOKUP(TRIM($A194),_classification_map!$A$2:$C$227,3,FALSE),"")</x:f>
        <x:v>GeForce GTX</x:v>
      </x:c>
      <x:c r="D194" s="2" t="inlineStr">
        <x:is>
          <x:t xml:space="preserve">NVIDIA</x:t>
        </x:is>
      </x:c>
      <x:c r="E194" s="2" t="inlineStr">
        <x:is>
          <x:t xml:space="preserve">GPU</x:t>
        </x:is>
      </x:c>
      <x:c r="F194" s="2" t="n"/>
      <x:c r="G194" s="2" t="n"/>
      <x:c r="H194" s="3" t="n"/>
      <x:c r="I194" s="4" t="n"/>
      <x:c r="J194" s="4" t="n"/>
      <x:c r="K194" s="4" t="n"/>
      <x:c r="L194" s="4" t="n">
        <x:v>8000000000</x:v>
      </x:c>
      <x:c r="M194" s="4" t="n"/>
      <x:c r="N194" s="4" t="n"/>
      <x:c r="O194" s="4" t="n"/>
      <x:c r="P194" s="5" t="n"/>
      <x:c r="Q194" s="4" t="n"/>
      <x:c r="R194" s="4" t="n"/>
      <x:c r="S194" s="4" t="n"/>
      <x:c r="T194" s="4" t="n"/>
      <x:c r="U194" s="4" t="n"/>
      <x:c r="V194" s="4" t="n"/>
      <x:c r="W194" s="4" t="n"/>
      <x:c r="X194" s="2" t="n"/>
      <x:c r="Y194" s="5" t="n"/>
      <x:c r="Z194" s="5" t="n"/>
      <x:c r="AA194" s="5" t="n"/>
      <x:c r="AB194" s="5" t="n"/>
      <x:c r="AC194" s="5" t="n"/>
      <x:c r="AD194" s="5" t="n"/>
      <x:c r="AE194" s="5" t="n"/>
      <x:c r="AF194" s="5" t="n"/>
      <x:c r="AG194" s="2" t="n"/>
      <x:c r="AH194" s="2" t="n"/>
      <x:c r="AI194" s="2" t="n"/>
      <x:c r="AJ194" s="2" t="n"/>
      <x:c r="AK194" s="4" t="n"/>
      <x:c r="AL194" s="4" t="n"/>
      <x:c r="AM194" s="4" t="n"/>
      <x:c r="AN194" s="4" t="n"/>
      <x:c r="AO194" s="4" t="n"/>
    </x:row>
    <x:row r="195">
      <x:c r="A195" s="2" t="inlineStr">
        <x:is>
          <x:t xml:space="preserve">NVIDIA GeForce GTX 980 Ti</x:t>
        </x:is>
      </x:c>
      <x:c r="B195" s="2" t="str">
        <x:f>IFERROR(VLOOKUP(TRIM($A195),_classification_map!$A$2:$C$227,2,FALSE),"")</x:f>
        <x:v>Maxwell</x:v>
      </x:c>
      <x:c r="C195" s="2" t="str">
        <x:f>IFERROR(VLOOKUP(TRIM($A195),_classification_map!$A$2:$C$227,3,FALSE),"")</x:f>
        <x:v>GeForce GTX</x:v>
      </x:c>
      <x:c r="D195" s="2" t="inlineStr">
        <x:is>
          <x:t xml:space="preserve">NVIDIA</x:t>
        </x:is>
      </x:c>
      <x:c r="E195" s="2" t="inlineStr">
        <x:is>
          <x:t xml:space="preserve">GPU</x:t>
        </x:is>
      </x:c>
      <x:c r="F195" s="2" t="n"/>
      <x:c r="G195" s="2" t="n"/>
      <x:c r="H195" s="3" t="n"/>
      <x:c r="I195" s="4" t="n"/>
      <x:c r="J195" s="4" t="n"/>
      <x:c r="K195" s="4" t="n"/>
      <x:c r="L195" s="4" t="n">
        <x:v>6000000000</x:v>
      </x:c>
      <x:c r="M195" s="4" t="n"/>
      <x:c r="N195" s="4" t="n"/>
      <x:c r="O195" s="4" t="n"/>
      <x:c r="P195" s="5" t="n"/>
      <x:c r="Q195" s="4" t="n"/>
      <x:c r="R195" s="4" t="n"/>
      <x:c r="S195" s="4" t="n"/>
      <x:c r="T195" s="4" t="n"/>
      <x:c r="U195" s="4" t="n"/>
      <x:c r="V195" s="4" t="n"/>
      <x:c r="W195" s="4" t="n"/>
      <x:c r="X195" s="2" t="n"/>
      <x:c r="Y195" s="5" t="n"/>
      <x:c r="Z195" s="5" t="n"/>
      <x:c r="AA195" s="5" t="n"/>
      <x:c r="AB195" s="5" t="n"/>
      <x:c r="AC195" s="5" t="n"/>
      <x:c r="AD195" s="5" t="n"/>
      <x:c r="AE195" s="5" t="n"/>
      <x:c r="AF195" s="5" t="n"/>
      <x:c r="AG195" s="2" t="n"/>
      <x:c r="AH195" s="2" t="n"/>
      <x:c r="AI195" s="2" t="n"/>
      <x:c r="AJ195" s="2" t="n"/>
      <x:c r="AK195" s="4" t="n"/>
      <x:c r="AL195" s="4" t="n"/>
      <x:c r="AM195" s="4" t="n"/>
      <x:c r="AN195" s="4" t="n"/>
      <x:c r="AO195" s="4" t="n"/>
    </x:row>
    <x:row r="196">
      <x:c r="A196" s="2" t="inlineStr">
        <x:is>
          <x:t xml:space="preserve">NVIDIA Quadro GV100</x:t>
        </x:is>
      </x:c>
      <x:c r="B196" s="2" t="str">
        <x:f>IFERROR(VLOOKUP(TRIM($A196),_classification_map!$A$2:$C$227,2,FALSE),"")</x:f>
        <x:v>Volta</x:v>
      </x:c>
      <x:c r="C196" s="2" t="str">
        <x:f>IFERROR(VLOOKUP(TRIM($A196),_classification_map!$A$2:$C$227,3,FALSE),"")</x:f>
        <x:v>Quadro</x:v>
      </x:c>
      <x:c r="D196" s="2" t="inlineStr">
        <x:is>
          <x:t xml:space="preserve">NVIDIA</x:t>
        </x:is>
      </x:c>
      <x:c r="E196" s="2" t="inlineStr">
        <x:is>
          <x:t xml:space="preserve">GPU</x:t>
        </x:is>
      </x:c>
      <x:c r="F196" s="2" t="n"/>
      <x:c r="G196" s="2" t="n"/>
      <x:c r="H196" s="3" t="n"/>
      <x:c r="I196" s="4" t="n">
        <x:v>118500000000000</x:v>
      </x:c>
      <x:c r="J196" s="4" t="n"/>
      <x:c r="K196" s="4" t="n"/>
      <x:c r="L196" s="4" t="n">
        <x:v>16000000000</x:v>
      </x:c>
      <x:c r="M196" s="4" t="n"/>
      <x:c r="N196" s="4" t="n"/>
      <x:c r="O196" s="4" t="n"/>
      <x:c r="P196" s="5" t="n"/>
      <x:c r="Q196" s="4" t="n"/>
      <x:c r="R196" s="4" t="n"/>
      <x:c r="S196" s="4" t="n"/>
      <x:c r="T196" s="4" t="n"/>
      <x:c r="U196" s="4" t="n"/>
      <x:c r="V196" s="4" t="n"/>
      <x:c r="W196" s="4" t="n"/>
      <x:c r="X196" s="2" t="n"/>
      <x:c r="Y196" s="5" t="n"/>
      <x:c r="Z196" s="5" t="n"/>
      <x:c r="AA196" s="5" t="n"/>
      <x:c r="AB196" s="5" t="n"/>
      <x:c r="AC196" s="5" t="n"/>
      <x:c r="AD196" s="5" t="n"/>
      <x:c r="AE196" s="5" t="n"/>
      <x:c r="AF196" s="5" t="n"/>
      <x:c r="AG196" s="2" t="n"/>
      <x:c r="AH196" s="2" t="n"/>
      <x:c r="AI196" s="2" t="n"/>
      <x:c r="AJ196" s="2" t="n"/>
      <x:c r="AK196" s="4" t="n"/>
      <x:c r="AL196" s="4" t="n"/>
      <x:c r="AM196" s="4" t="n"/>
      <x:c r="AN196" s="4" t="n"/>
      <x:c r="AO196" s="4" t="n"/>
    </x:row>
    <x:row r="197">
      <x:c r="A197" s="2" t="inlineStr">
        <x:is>
          <x:t xml:space="preserve">NVIDIA Quadro GP100</x:t>
        </x:is>
      </x:c>
      <x:c r="B197" s="2" t="str">
        <x:f>IFERROR(VLOOKUP(TRIM($A197),_classification_map!$A$2:$C$227,2,FALSE),"")</x:f>
        <x:v>Pascal</x:v>
      </x:c>
      <x:c r="C197" s="2" t="str">
        <x:f>IFERROR(VLOOKUP(TRIM($A197),_classification_map!$A$2:$C$227,3,FALSE),"")</x:f>
        <x:v>Quadro</x:v>
      </x:c>
      <x:c r="D197" s="2" t="inlineStr">
        <x:is>
          <x:t xml:space="preserve">NVIDIA</x:t>
        </x:is>
      </x:c>
      <x:c r="E197" s="2" t="inlineStr">
        <x:is>
          <x:t xml:space="preserve">GPU</x:t>
        </x:is>
      </x:c>
      <x:c r="F197" s="2" t="n"/>
      <x:c r="G197" s="2" t="n"/>
      <x:c r="H197" s="3" t="n"/>
      <x:c r="I197" s="4" t="n">
        <x:v>20700000000000</x:v>
      </x:c>
      <x:c r="J197" s="4" t="n"/>
      <x:c r="K197" s="4" t="n"/>
      <x:c r="L197" s="4" t="n">
        <x:v>40000000000</x:v>
      </x:c>
      <x:c r="M197" s="4" t="n"/>
      <x:c r="N197" s="4" t="n"/>
      <x:c r="O197" s="4" t="n"/>
      <x:c r="P197" s="5" t="n"/>
      <x:c r="Q197" s="4" t="n"/>
      <x:c r="R197" s="4" t="n"/>
      <x:c r="S197" s="4" t="n"/>
      <x:c r="T197" s="4" t="n"/>
      <x:c r="U197" s="4" t="n"/>
      <x:c r="V197" s="4" t="n"/>
      <x:c r="W197" s="4" t="n"/>
      <x:c r="X197" s="2" t="n"/>
      <x:c r="Y197" s="5" t="n"/>
      <x:c r="Z197" s="5" t="n"/>
      <x:c r="AA197" s="5" t="n"/>
      <x:c r="AB197" s="5" t="n"/>
      <x:c r="AC197" s="5" t="n"/>
      <x:c r="AD197" s="5" t="n"/>
      <x:c r="AE197" s="5" t="n"/>
      <x:c r="AF197" s="5" t="n"/>
      <x:c r="AG197" s="2" t="n"/>
      <x:c r="AH197" s="2" t="n"/>
      <x:c r="AI197" s="2" t="n"/>
      <x:c r="AJ197" s="2" t="n"/>
      <x:c r="AK197" s="4" t="n"/>
      <x:c r="AL197" s="4" t="n"/>
      <x:c r="AM197" s="4" t="n"/>
      <x:c r="AN197" s="4" t="n"/>
      <x:c r="AO197" s="4" t="n"/>
    </x:row>
    <x:row r="198">
      <x:c r="A198" s="2" t="inlineStr">
        <x:is>
          <x:t xml:space="preserve">NVIDIA TITAN X Pascal</x:t>
        </x:is>
      </x:c>
      <x:c r="B198" s="2" t="str">
        <x:f>IFERROR(VLOOKUP(TRIM($A198),_classification_map!$A$2:$C$227,2,FALSE),"")</x:f>
        <x:v>Pascal</x:v>
      </x:c>
      <x:c r="C198" s="2" t="str">
        <x:f>IFERROR(VLOOKUP(TRIM($A198),_classification_map!$A$2:$C$227,3,FALSE),"")</x:f>
        <x:v>TITAN</x:v>
      </x:c>
      <x:c r="D198" s="2" t="inlineStr">
        <x:is>
          <x:t xml:space="preserve">NVIDIA</x:t>
        </x:is>
      </x:c>
      <x:c r="E198" s="2" t="inlineStr">
        <x:is>
          <x:t xml:space="preserve">GPU</x:t>
        </x:is>
      </x:c>
      <x:c r="F198" s="2" t="n"/>
      <x:c r="G198" s="2" t="n"/>
      <x:c r="H198" s="3" t="n"/>
      <x:c r="I198" s="4" t="n"/>
      <x:c r="J198" s="4" t="n"/>
      <x:c r="K198" s="4" t="n"/>
      <x:c r="L198" s="4" t="n">
        <x:v>12000000000</x:v>
      </x:c>
      <x:c r="M198" s="4" t="n"/>
      <x:c r="N198" s="4" t="n"/>
      <x:c r="O198" s="4" t="n"/>
      <x:c r="P198" s="5" t="n"/>
      <x:c r="Q198" s="4" t="n"/>
      <x:c r="R198" s="4" t="n"/>
      <x:c r="S198" s="4" t="n"/>
      <x:c r="T198" s="4" t="n"/>
      <x:c r="U198" s="4" t="n"/>
      <x:c r="V198" s="4" t="n"/>
      <x:c r="W198" s="4" t="n"/>
      <x:c r="X198" s="2" t="n"/>
      <x:c r="Y198" s="5" t="n"/>
      <x:c r="Z198" s="5" t="n"/>
      <x:c r="AA198" s="5" t="n"/>
      <x:c r="AB198" s="5" t="n"/>
      <x:c r="AC198" s="5" t="n"/>
      <x:c r="AD198" s="5" t="n"/>
      <x:c r="AE198" s="5" t="n"/>
      <x:c r="AF198" s="5" t="n"/>
      <x:c r="AG198" s="2" t="n"/>
      <x:c r="AH198" s="2" t="n"/>
      <x:c r="AI198" s="2" t="n"/>
      <x:c r="AJ198" s="2" t="n"/>
      <x:c r="AK198" s="4" t="n"/>
      <x:c r="AL198" s="4" t="n"/>
      <x:c r="AM198" s="4" t="n"/>
      <x:c r="AN198" s="4" t="n"/>
      <x:c r="AO198" s="4" t="n"/>
    </x:row>
    <x:row r="199">
      <x:c r="A199" s="2" t="inlineStr">
        <x:is>
          <x:t xml:space="preserve">NVIDIA Quadro P1000</x:t>
        </x:is>
      </x:c>
      <x:c r="B199" s="2" t="str">
        <x:f>IFERROR(VLOOKUP(TRIM($A199),_classification_map!$A$2:$C$227,2,FALSE),"")</x:f>
        <x:v>Pascal</x:v>
      </x:c>
      <x:c r="C199" s="2" t="str">
        <x:f>IFERROR(VLOOKUP(TRIM($A199),_classification_map!$A$2:$C$227,3,FALSE),"")</x:f>
        <x:v>Quadro</x:v>
      </x:c>
      <x:c r="D199" s="2" t="inlineStr">
        <x:is>
          <x:t xml:space="preserve">NVIDIA</x:t>
        </x:is>
      </x:c>
      <x:c r="E199" s="2" t="inlineStr">
        <x:is>
          <x:t xml:space="preserve">GPU</x:t>
        </x:is>
      </x:c>
      <x:c r="F199" s="2" t="n"/>
      <x:c r="G199" s="2" t="n"/>
      <x:c r="H199" s="3" t="n"/>
      <x:c r="I199" s="4" t="n"/>
      <x:c r="J199" s="4" t="n"/>
      <x:c r="K199" s="4" t="n"/>
      <x:c r="L199" s="4" t="n">
        <x:v>4000000000</x:v>
      </x:c>
      <x:c r="M199" s="4" t="n"/>
      <x:c r="N199" s="4" t="n"/>
      <x:c r="O199" s="4" t="n"/>
      <x:c r="P199" s="5" t="n"/>
      <x:c r="Q199" s="4" t="n"/>
      <x:c r="R199" s="4" t="n"/>
      <x:c r="S199" s="4" t="n"/>
      <x:c r="T199" s="4" t="n"/>
      <x:c r="U199" s="4" t="n"/>
      <x:c r="V199" s="4" t="n"/>
      <x:c r="W199" s="4" t="n"/>
      <x:c r="X199" s="2" t="n"/>
      <x:c r="Y199" s="5" t="n"/>
      <x:c r="Z199" s="5" t="n"/>
      <x:c r="AA199" s="5" t="n"/>
      <x:c r="AB199" s="5" t="n"/>
      <x:c r="AC199" s="5" t="n"/>
      <x:c r="AD199" s="5" t="n"/>
      <x:c r="AE199" s="5" t="n"/>
      <x:c r="AF199" s="5" t="n"/>
      <x:c r="AG199" s="2" t="n"/>
      <x:c r="AH199" s="2" t="n"/>
      <x:c r="AI199" s="2" t="n"/>
      <x:c r="AJ199" s="2" t="n"/>
      <x:c r="AK199" s="4" t="n"/>
      <x:c r="AL199" s="4" t="n"/>
      <x:c r="AM199" s="4" t="n"/>
      <x:c r="AN199" s="4" t="n"/>
      <x:c r="AO199" s="4" t="n"/>
    </x:row>
    <x:row r="200">
      <x:c r="A200" s="2" t="inlineStr">
        <x:is>
          <x:t xml:space="preserve">NVIDIA GeForce RTX 3080 Ti</x:t>
        </x:is>
      </x:c>
      <x:c r="B200" s="2" t="str">
        <x:f>IFERROR(VLOOKUP(TRIM($A200),_classification_map!$A$2:$C$227,2,FALSE),"")</x:f>
        <x:v>Ampere</x:v>
      </x:c>
      <x:c r="C200" s="2" t="str">
        <x:f>IFERROR(VLOOKUP(TRIM($A200),_classification_map!$A$2:$C$227,3,FALSE),"")</x:f>
        <x:v>GeForce RTX</x:v>
      </x:c>
      <x:c r="D200" s="2" t="inlineStr">
        <x:is>
          <x:t xml:space="preserve">NVIDIA</x:t>
        </x:is>
      </x:c>
      <x:c r="E200" s="2" t="inlineStr">
        <x:is>
          <x:t xml:space="preserve">GPU</x:t>
        </x:is>
      </x:c>
      <x:c r="F200" s="2" t="n"/>
      <x:c r="G200" s="2" t="n"/>
      <x:c r="H200" s="3" t="n"/>
      <x:c r="I200" s="4" t="n">
        <x:v>136400000000000</x:v>
      </x:c>
      <x:c r="J200" s="4" t="n"/>
      <x:c r="K200" s="4" t="n"/>
      <x:c r="L200" s="4" t="n">
        <x:v>12000000000</x:v>
      </x:c>
      <x:c r="M200" s="4" t="n"/>
      <x:c r="N200" s="4" t="n"/>
      <x:c r="O200" s="4" t="n"/>
      <x:c r="P200" s="5" t="n"/>
      <x:c r="Q200" s="4" t="n"/>
      <x:c r="R200" s="4" t="n"/>
      <x:c r="S200" s="4" t="n"/>
      <x:c r="T200" s="4" t="n"/>
      <x:c r="U200" s="4" t="n"/>
      <x:c r="V200" s="4" t="n"/>
      <x:c r="W200" s="4" t="n"/>
      <x:c r="X200" s="2" t="n"/>
      <x:c r="Y200" s="5" t="n"/>
      <x:c r="Z200" s="5" t="n"/>
      <x:c r="AA200" s="5" t="n"/>
      <x:c r="AB200" s="5" t="n"/>
      <x:c r="AC200" s="5" t="n"/>
      <x:c r="AD200" s="5" t="n"/>
      <x:c r="AE200" s="5" t="n"/>
      <x:c r="AF200" s="5" t="n"/>
      <x:c r="AG200" s="2" t="n"/>
      <x:c r="AH200" s="2" t="n"/>
      <x:c r="AI200" s="2" t="n"/>
      <x:c r="AJ200" s="2" t="n"/>
      <x:c r="AK200" s="4" t="n"/>
      <x:c r="AL200" s="4" t="n"/>
      <x:c r="AM200" s="4" t="n"/>
      <x:c r="AN200" s="4" t="n"/>
      <x:c r="AO200" s="4" t="n"/>
    </x:row>
    <x:row r="201">
      <x:c r="A201" s="2" t="inlineStr">
        <x:is>
          <x:t xml:space="preserve">NVIDIA GeForce RTX 2080</x:t>
        </x:is>
      </x:c>
      <x:c r="B201" s="2" t="str">
        <x:f>IFERROR(VLOOKUP(TRIM($A201),_classification_map!$A$2:$C$227,2,FALSE),"")</x:f>
        <x:v>Turing</x:v>
      </x:c>
      <x:c r="C201" s="2" t="str">
        <x:f>IFERROR(VLOOKUP(TRIM($A201),_classification_map!$A$2:$C$227,3,FALSE),"")</x:f>
        <x:v>GeForce RTX</x:v>
      </x:c>
      <x:c r="D201" s="2" t="inlineStr">
        <x:is>
          <x:t xml:space="preserve">NVIDIA</x:t>
        </x:is>
      </x:c>
      <x:c r="E201" s="2" t="inlineStr">
        <x:is>
          <x:t xml:space="preserve">GPU</x:t>
        </x:is>
      </x:c>
      <x:c r="F201" s="2" t="n"/>
      <x:c r="G201" s="2" t="n"/>
      <x:c r="H201" s="3" t="n"/>
      <x:c r="I201" s="4" t="n">
        <x:v>107000000000000</x:v>
      </x:c>
      <x:c r="J201" s="4" t="n"/>
      <x:c r="K201" s="4" t="n"/>
      <x:c r="L201" s="4" t="n">
        <x:v>8000000000</x:v>
      </x:c>
      <x:c r="M201" s="4" t="n"/>
      <x:c r="N201" s="4" t="n"/>
      <x:c r="O201" s="4" t="n"/>
      <x:c r="P201" s="5" t="n"/>
      <x:c r="Q201" s="4" t="n"/>
      <x:c r="R201" s="4" t="n"/>
      <x:c r="S201" s="4" t="n"/>
      <x:c r="T201" s="4" t="n"/>
      <x:c r="U201" s="4" t="n"/>
      <x:c r="V201" s="4" t="n"/>
      <x:c r="W201" s="4" t="n"/>
      <x:c r="X201" s="2" t="n"/>
      <x:c r="Y201" s="5" t="n"/>
      <x:c r="Z201" s="5" t="n"/>
      <x:c r="AA201" s="5" t="n"/>
      <x:c r="AB201" s="5" t="n"/>
      <x:c r="AC201" s="5" t="n"/>
      <x:c r="AD201" s="5" t="n"/>
      <x:c r="AE201" s="5" t="n"/>
      <x:c r="AF201" s="5" t="n"/>
      <x:c r="AG201" s="2" t="n"/>
      <x:c r="AH201" s="2" t="n"/>
      <x:c r="AI201" s="2" t="n"/>
      <x:c r="AJ201" s="2" t="n"/>
      <x:c r="AK201" s="4" t="n"/>
      <x:c r="AL201" s="4" t="n"/>
      <x:c r="AM201" s="4" t="n"/>
      <x:c r="AN201" s="4" t="n"/>
      <x:c r="AO201" s="4" t="n"/>
    </x:row>
    <x:row r="202">
      <x:c r="A202" s="2" t="inlineStr">
        <x:is>
          <x:t xml:space="preserve">NVIDIA GeForce GTX 1650</x:t>
        </x:is>
      </x:c>
      <x:c r="B202" s="2" t="str">
        <x:f>IFERROR(VLOOKUP(TRIM($A202),_classification_map!$A$2:$C$227,2,FALSE),"")</x:f>
        <x:v>Turing</x:v>
      </x:c>
      <x:c r="C202" s="2" t="str">
        <x:f>IFERROR(VLOOKUP(TRIM($A202),_classification_map!$A$2:$C$227,3,FALSE),"")</x:f>
        <x:v>GeForce GTX</x:v>
      </x:c>
      <x:c r="D202" s="2" t="inlineStr">
        <x:is>
          <x:t xml:space="preserve">NVIDIA</x:t>
        </x:is>
      </x:c>
      <x:c r="E202" s="2" t="inlineStr">
        <x:is>
          <x:t xml:space="preserve">GPU</x:t>
        </x:is>
      </x:c>
      <x:c r="F202" s="2" t="n"/>
      <x:c r="G202" s="2" t="n"/>
      <x:c r="H202" s="3" t="n"/>
      <x:c r="I202" s="4" t="n"/>
      <x:c r="J202" s="4" t="n"/>
      <x:c r="K202" s="4" t="n"/>
      <x:c r="L202" s="4" t="n">
        <x:v>4000000000</x:v>
      </x:c>
      <x:c r="M202" s="4" t="n"/>
      <x:c r="N202" s="4" t="n"/>
      <x:c r="O202" s="4" t="n"/>
      <x:c r="P202" s="5" t="n"/>
      <x:c r="Q202" s="4" t="n"/>
      <x:c r="R202" s="4" t="n"/>
      <x:c r="S202" s="4" t="n"/>
      <x:c r="T202" s="4" t="n"/>
      <x:c r="U202" s="4" t="n"/>
      <x:c r="V202" s="4" t="n"/>
      <x:c r="W202" s="4" t="n"/>
      <x:c r="X202" s="2" t="n"/>
      <x:c r="Y202" s="5" t="n"/>
      <x:c r="Z202" s="5" t="n"/>
      <x:c r="AA202" s="5" t="n"/>
      <x:c r="AB202" s="5" t="n"/>
      <x:c r="AC202" s="5" t="n"/>
      <x:c r="AD202" s="5" t="n"/>
      <x:c r="AE202" s="5" t="n"/>
      <x:c r="AF202" s="5" t="n"/>
      <x:c r="AG202" s="2" t="n"/>
      <x:c r="AH202" s="2" t="n"/>
      <x:c r="AI202" s="2" t="n"/>
      <x:c r="AJ202" s="2" t="n"/>
      <x:c r="AK202" s="4" t="n"/>
      <x:c r="AL202" s="4" t="n"/>
      <x:c r="AM202" s="4" t="n"/>
      <x:c r="AN202" s="4" t="n"/>
      <x:c r="AO202" s="4" t="n"/>
    </x:row>
    <x:row r="203">
      <x:c r="A203" s="2" t="inlineStr">
        <x:is>
          <x:t xml:space="preserve">NVIDIA Tesla K40c</x:t>
        </x:is>
      </x:c>
      <x:c r="B203" s="2" t="str">
        <x:f>IFERROR(VLOOKUP(TRIM($A203),_classification_map!$A$2:$C$227,2,FALSE),"")</x:f>
        <x:v>Kepler</x:v>
      </x:c>
      <x:c r="C203" s="2" t="str">
        <x:f>IFERROR(VLOOKUP(TRIM($A203),_classification_map!$A$2:$C$227,3,FALSE),"")</x:f>
        <x:v>Tesla</x:v>
      </x:c>
      <x:c r="D203" s="2" t="inlineStr">
        <x:is>
          <x:t xml:space="preserve">NVIDIA</x:t>
        </x:is>
      </x:c>
      <x:c r="E203" s="2" t="inlineStr">
        <x:is>
          <x:t xml:space="preserve">GPU</x:t>
        </x:is>
      </x:c>
      <x:c r="F203" s="2" t="n"/>
      <x:c r="G203" s="2" t="n"/>
      <x:c r="H203" s="3" t="n"/>
      <x:c r="I203" s="4" t="n"/>
      <x:c r="J203" s="4" t="n"/>
      <x:c r="K203" s="4" t="n"/>
      <x:c r="L203" s="4" t="n">
        <x:v>12000000000</x:v>
      </x:c>
      <x:c r="M203" s="4" t="n"/>
      <x:c r="N203" s="4" t="n"/>
      <x:c r="O203" s="4" t="n"/>
      <x:c r="P203" s="5" t="n"/>
      <x:c r="Q203" s="4" t="n"/>
      <x:c r="R203" s="4" t="n"/>
      <x:c r="S203" s="4" t="n"/>
      <x:c r="T203" s="4" t="n"/>
      <x:c r="U203" s="4" t="n"/>
      <x:c r="V203" s="4" t="n"/>
      <x:c r="W203" s="4" t="n"/>
      <x:c r="X203" s="2" t="n"/>
      <x:c r="Y203" s="5" t="n"/>
      <x:c r="Z203" s="5" t="n"/>
      <x:c r="AA203" s="5" t="n"/>
      <x:c r="AB203" s="5" t="n"/>
      <x:c r="AC203" s="5" t="n"/>
      <x:c r="AD203" s="5" t="n"/>
      <x:c r="AE203" s="5" t="n"/>
      <x:c r="AF203" s="5" t="n"/>
      <x:c r="AG203" s="2" t="n"/>
      <x:c r="AH203" s="2" t="n"/>
      <x:c r="AI203" s="2" t="n"/>
      <x:c r="AJ203" s="2" t="n"/>
      <x:c r="AK203" s="4" t="n"/>
      <x:c r="AL203" s="4" t="n"/>
      <x:c r="AM203" s="4" t="n"/>
      <x:c r="AN203" s="4" t="n"/>
      <x:c r="AO203" s="4" t="n"/>
    </x:row>
    <x:row r="204">
      <x:c r="A204" s="2" t="inlineStr">
        <x:is>
          <x:t xml:space="preserve">NVIDIA GeForce RTX 3060</x:t>
        </x:is>
      </x:c>
      <x:c r="B204" s="2" t="str">
        <x:f>IFERROR(VLOOKUP(TRIM($A204),_classification_map!$A$2:$C$227,2,FALSE),"")</x:f>
        <x:v>Ampere</x:v>
      </x:c>
      <x:c r="C204" s="2" t="str">
        <x:f>IFERROR(VLOOKUP(TRIM($A204),_classification_map!$A$2:$C$227,3,FALSE),"")</x:f>
        <x:v>GeForce RTX</x:v>
      </x:c>
      <x:c r="D204" s="2" t="inlineStr">
        <x:is>
          <x:t xml:space="preserve">NVIDIA</x:t>
        </x:is>
      </x:c>
      <x:c r="E204" s="2" t="inlineStr">
        <x:is>
          <x:t xml:space="preserve">GPU</x:t>
        </x:is>
      </x:c>
      <x:c r="F204" s="2" t="n"/>
      <x:c r="G204" s="2" t="n"/>
      <x:c r="H204" s="3" t="n"/>
      <x:c r="I204" s="4" t="n">
        <x:v>147000000000000</x:v>
      </x:c>
      <x:c r="J204" s="4" t="n"/>
      <x:c r="K204" s="4" t="n"/>
      <x:c r="L204" s="4" t="n">
        <x:v>12000000000</x:v>
      </x:c>
      <x:c r="M204" s="4" t="n"/>
      <x:c r="N204" s="4" t="n"/>
      <x:c r="O204" s="4" t="n"/>
      <x:c r="P204" s="5" t="n"/>
      <x:c r="Q204" s="4" t="n"/>
      <x:c r="R204" s="4" t="n"/>
      <x:c r="S204" s="4" t="n"/>
      <x:c r="T204" s="4" t="n"/>
      <x:c r="U204" s="4" t="n"/>
      <x:c r="V204" s="4" t="n"/>
      <x:c r="W204" s="4" t="n"/>
      <x:c r="X204" s="2" t="n"/>
      <x:c r="Y204" s="5" t="n"/>
      <x:c r="Z204" s="5" t="n"/>
      <x:c r="AA204" s="5" t="n"/>
      <x:c r="AB204" s="5" t="n"/>
      <x:c r="AC204" s="5" t="n"/>
      <x:c r="AD204" s="5" t="n"/>
      <x:c r="AE204" s="5" t="n"/>
      <x:c r="AF204" s="5" t="n"/>
      <x:c r="AG204" s="2" t="n"/>
      <x:c r="AH204" s="2" t="n"/>
      <x:c r="AI204" s="2" t="n"/>
      <x:c r="AJ204" s="2" t="n"/>
      <x:c r="AK204" s="4" t="n"/>
      <x:c r="AL204" s="4" t="n"/>
      <x:c r="AM204" s="4" t="n"/>
      <x:c r="AN204" s="4" t="n"/>
      <x:c r="AO204" s="4" t="n"/>
    </x:row>
    <x:row r="205">
      <x:c r="A205" s="2" t="inlineStr">
        <x:is>
          <x:t xml:space="preserve">NVIDIA GeForce RTX 2070 SUPER</x:t>
        </x:is>
      </x:c>
      <x:c r="B205" s="2" t="str">
        <x:f>IFERROR(VLOOKUP(TRIM($A205),_classification_map!$A$2:$C$227,2,FALSE),"")</x:f>
        <x:v>Turing</x:v>
      </x:c>
      <x:c r="C205" s="2" t="str">
        <x:f>IFERROR(VLOOKUP(TRIM($A205),_classification_map!$A$2:$C$227,3,FALSE),"")</x:f>
        <x:v>GeForce RTX</x:v>
      </x:c>
      <x:c r="D205" s="2" t="inlineStr">
        <x:is>
          <x:t xml:space="preserve">NVIDIA</x:t>
        </x:is>
      </x:c>
      <x:c r="E205" s="2" t="inlineStr">
        <x:is>
          <x:t xml:space="preserve">GPU</x:t>
        </x:is>
      </x:c>
      <x:c r="F205" s="2" t="n"/>
      <x:c r="G205" s="2" t="n"/>
      <x:c r="H205" s="3" t="n"/>
      <x:c r="I205" s="4" t="n">
        <x:v>73000000000000</x:v>
      </x:c>
      <x:c r="J205" s="4" t="n"/>
      <x:c r="K205" s="4" t="n"/>
      <x:c r="L205" s="4" t="n">
        <x:v>8000000000</x:v>
      </x:c>
      <x:c r="M205" s="4" t="n"/>
      <x:c r="N205" s="4" t="n"/>
      <x:c r="O205" s="4" t="n"/>
      <x:c r="P205" s="5" t="n"/>
      <x:c r="Q205" s="4" t="n"/>
      <x:c r="R205" s="4" t="n"/>
      <x:c r="S205" s="4" t="n"/>
      <x:c r="T205" s="4" t="n"/>
      <x:c r="U205" s="4" t="n"/>
      <x:c r="V205" s="4" t="n"/>
      <x:c r="W205" s="4" t="n"/>
      <x:c r="X205" s="2" t="n"/>
      <x:c r="Y205" s="5" t="n"/>
      <x:c r="Z205" s="5" t="n"/>
      <x:c r="AA205" s="5" t="n"/>
      <x:c r="AB205" s="5" t="n"/>
      <x:c r="AC205" s="5" t="n"/>
      <x:c r="AD205" s="5" t="n"/>
      <x:c r="AE205" s="5" t="n"/>
      <x:c r="AF205" s="5" t="n"/>
      <x:c r="AG205" s="2" t="n"/>
      <x:c r="AH205" s="2" t="n"/>
      <x:c r="AI205" s="2" t="n"/>
      <x:c r="AJ205" s="2" t="n"/>
      <x:c r="AK205" s="4" t="n"/>
      <x:c r="AL205" s="4" t="n"/>
      <x:c r="AM205" s="4" t="n"/>
      <x:c r="AN205" s="4" t="n"/>
      <x:c r="AO205" s="4" t="n"/>
    </x:row>
    <x:row r="206">
      <x:c r="A206" s="2" t="inlineStr">
        <x:is>
          <x:t xml:space="preserve">NVIDIA GeForce RTX 2060 SUPER</x:t>
        </x:is>
      </x:c>
      <x:c r="B206" s="2" t="str">
        <x:f>IFERROR(VLOOKUP(TRIM($A206),_classification_map!$A$2:$C$227,2,FALSE),"")</x:f>
        <x:v>Turing</x:v>
      </x:c>
      <x:c r="C206" s="2" t="str">
        <x:f>IFERROR(VLOOKUP(TRIM($A206),_classification_map!$A$2:$C$227,3,FALSE),"")</x:f>
        <x:v>GeForce RTX</x:v>
      </x:c>
      <x:c r="D206" s="2" t="inlineStr">
        <x:is>
          <x:t xml:space="preserve">NVIDIA</x:t>
        </x:is>
      </x:c>
      <x:c r="E206" s="2" t="inlineStr">
        <x:is>
          <x:t xml:space="preserve">GPU</x:t>
        </x:is>
      </x:c>
      <x:c r="F206" s="2" t="n"/>
      <x:c r="G206" s="2" t="n"/>
      <x:c r="H206" s="3" t="n"/>
      <x:c r="I206" s="4" t="n"/>
      <x:c r="J206" s="4" t="n"/>
      <x:c r="K206" s="4" t="n"/>
      <x:c r="L206" s="4" t="n">
        <x:v>8000000000</x:v>
      </x:c>
      <x:c r="M206" s="4" t="n"/>
      <x:c r="N206" s="4" t="n"/>
      <x:c r="O206" s="4" t="n"/>
      <x:c r="P206" s="5" t="n"/>
      <x:c r="Q206" s="4" t="n"/>
      <x:c r="R206" s="4" t="n"/>
      <x:c r="S206" s="4" t="n"/>
      <x:c r="T206" s="4" t="n"/>
      <x:c r="U206" s="4" t="n"/>
      <x:c r="V206" s="4" t="n"/>
      <x:c r="W206" s="4" t="n"/>
      <x:c r="X206" s="2" t="n"/>
      <x:c r="Y206" s="5" t="n"/>
      <x:c r="Z206" s="5" t="n"/>
      <x:c r="AA206" s="5" t="n"/>
      <x:c r="AB206" s="5" t="n"/>
      <x:c r="AC206" s="5" t="n"/>
      <x:c r="AD206" s="5" t="n"/>
      <x:c r="AE206" s="5" t="n"/>
      <x:c r="AF206" s="5" t="n"/>
      <x:c r="AG206" s="2" t="n"/>
      <x:c r="AH206" s="2" t="n"/>
      <x:c r="AI206" s="2" t="n"/>
      <x:c r="AJ206" s="2" t="n"/>
      <x:c r="AK206" s="4" t="n"/>
      <x:c r="AL206" s="4" t="n"/>
      <x:c r="AM206" s="4" t="n"/>
      <x:c r="AN206" s="4" t="n"/>
      <x:c r="AO206" s="4" t="n"/>
    </x:row>
    <x:row r="207">
      <x:c r="A207" s="2" t="inlineStr">
        <x:is>
          <x:t xml:space="preserve">NVIDIA GeForce GTX 1060</x:t>
        </x:is>
      </x:c>
      <x:c r="B207" s="2" t="str">
        <x:f>IFERROR(VLOOKUP(TRIM($A207),_classification_map!$A$2:$C$227,2,FALSE),"")</x:f>
        <x:v>Pascal</x:v>
      </x:c>
      <x:c r="C207" s="2" t="str">
        <x:f>IFERROR(VLOOKUP(TRIM($A207),_classification_map!$A$2:$C$227,3,FALSE),"")</x:f>
        <x:v>GeForce GTX</x:v>
      </x:c>
      <x:c r="D207" s="2" t="inlineStr">
        <x:is>
          <x:t xml:space="preserve">NVIDIA</x:t>
        </x:is>
      </x:c>
      <x:c r="E207" s="2" t="inlineStr">
        <x:is>
          <x:t xml:space="preserve">GPU</x:t>
        </x:is>
      </x:c>
      <x:c r="F207" s="2" t="n"/>
      <x:c r="G207" s="2" t="n"/>
      <x:c r="H207" s="3" t="n"/>
      <x:c r="I207" s="4" t="n"/>
      <x:c r="J207" s="4" t="n"/>
      <x:c r="K207" s="4" t="n"/>
      <x:c r="L207" s="4" t="n">
        <x:v>6000000000</x:v>
      </x:c>
      <x:c r="M207" s="4" t="n"/>
      <x:c r="N207" s="4" t="n"/>
      <x:c r="O207" s="4" t="n"/>
      <x:c r="P207" s="5" t="n"/>
      <x:c r="Q207" s="4" t="n"/>
      <x:c r="R207" s="4" t="n"/>
      <x:c r="S207" s="4" t="n"/>
      <x:c r="T207" s="4" t="n"/>
      <x:c r="U207" s="4" t="n"/>
      <x:c r="V207" s="4" t="n"/>
      <x:c r="W207" s="4" t="n"/>
      <x:c r="X207" s="2" t="n"/>
      <x:c r="Y207" s="5" t="n"/>
      <x:c r="Z207" s="5" t="n"/>
      <x:c r="AA207" s="5" t="n"/>
      <x:c r="AB207" s="5" t="n"/>
      <x:c r="AC207" s="5" t="n"/>
      <x:c r="AD207" s="5" t="n"/>
      <x:c r="AE207" s="5" t="n"/>
      <x:c r="AF207" s="5" t="n"/>
      <x:c r="AG207" s="2" t="n"/>
      <x:c r="AH207" s="2" t="n"/>
      <x:c r="AI207" s="2" t="n"/>
      <x:c r="AJ207" s="2" t="n"/>
      <x:c r="AK207" s="4" t="n"/>
      <x:c r="AL207" s="4" t="n"/>
      <x:c r="AM207" s="4" t="n"/>
      <x:c r="AN207" s="4" t="n"/>
      <x:c r="AO207" s="4" t="n"/>
    </x:row>
    <x:row r="208">
      <x:c r="A208" s="2" t="inlineStr">
        <x:is>
          <x:t xml:space="preserve">NVIDIA GeForce RTX 3050</x:t>
        </x:is>
      </x:c>
      <x:c r="B208" s="2" t="str">
        <x:f>IFERROR(VLOOKUP(TRIM($A208),_classification_map!$A$2:$C$227,2,FALSE),"")</x:f>
        <x:v>Ampere</x:v>
      </x:c>
      <x:c r="C208" s="2" t="str">
        <x:f>IFERROR(VLOOKUP(TRIM($A208),_classification_map!$A$2:$C$227,3,FALSE),"")</x:f>
        <x:v>GeForce RTX</x:v>
      </x:c>
      <x:c r="D208" s="2" t="inlineStr">
        <x:is>
          <x:t xml:space="preserve">NVIDIA</x:t>
        </x:is>
      </x:c>
      <x:c r="E208" s="2" t="inlineStr">
        <x:is>
          <x:t xml:space="preserve">GPU</x:t>
        </x:is>
      </x:c>
      <x:c r="F208" s="2" t="n"/>
      <x:c r="G208" s="2" t="n"/>
      <x:c r="H208" s="3" t="n"/>
      <x:c r="I208" s="4" t="n"/>
      <x:c r="J208" s="4" t="n"/>
      <x:c r="K208" s="4" t="n"/>
      <x:c r="L208" s="4" t="n">
        <x:v>8000000000</x:v>
      </x:c>
      <x:c r="M208" s="4" t="n"/>
      <x:c r="N208" s="4" t="n"/>
      <x:c r="O208" s="4" t="n"/>
      <x:c r="P208" s="5" t="n"/>
      <x:c r="Q208" s="4" t="n"/>
      <x:c r="R208" s="4" t="n"/>
      <x:c r="S208" s="4" t="n"/>
      <x:c r="T208" s="4" t="n"/>
      <x:c r="U208" s="4" t="n"/>
      <x:c r="V208" s="4" t="n"/>
      <x:c r="W208" s="4" t="n"/>
      <x:c r="X208" s="2" t="n"/>
      <x:c r="Y208" s="5" t="n"/>
      <x:c r="Z208" s="5" t="n"/>
      <x:c r="AA208" s="5" t="n"/>
      <x:c r="AB208" s="5" t="n"/>
      <x:c r="AC208" s="5" t="n"/>
      <x:c r="AD208" s="5" t="n"/>
      <x:c r="AE208" s="5" t="n"/>
      <x:c r="AF208" s="5" t="n"/>
      <x:c r="AG208" s="2" t="n"/>
      <x:c r="AH208" s="2" t="n"/>
      <x:c r="AI208" s="2" t="n"/>
      <x:c r="AJ208" s="2" t="n"/>
      <x:c r="AK208" s="4" t="n"/>
      <x:c r="AL208" s="4" t="n"/>
      <x:c r="AM208" s="4" t="n"/>
      <x:c r="AN208" s="4" t="n"/>
      <x:c r="AO208" s="4" t="n"/>
    </x:row>
    <x:row r="209">
      <x:c r="A209" s="2" t="inlineStr">
        <x:is>
          <x:t xml:space="preserve">NVIDIA GeForce RTX 3070</x:t>
        </x:is>
      </x:c>
      <x:c r="B209" s="2" t="str">
        <x:f>IFERROR(VLOOKUP(TRIM($A209),_classification_map!$A$2:$C$227,2,FALSE),"")</x:f>
        <x:v>Ampere</x:v>
      </x:c>
      <x:c r="C209" s="2" t="str">
        <x:f>IFERROR(VLOOKUP(TRIM($A209),_classification_map!$A$2:$C$227,3,FALSE),"")</x:f>
        <x:v>GeForce RTX</x:v>
      </x:c>
      <x:c r="D209" s="2" t="inlineStr">
        <x:is>
          <x:t xml:space="preserve">NVIDIA</x:t>
        </x:is>
      </x:c>
      <x:c r="E209" s="2" t="inlineStr">
        <x:is>
          <x:t xml:space="preserve">GPU</x:t>
        </x:is>
      </x:c>
      <x:c r="F209" s="2" t="n"/>
      <x:c r="G209" s="2" t="n"/>
      <x:c r="H209" s="3" t="n"/>
      <x:c r="I209" s="4" t="n"/>
      <x:c r="J209" s="4" t="n"/>
      <x:c r="K209" s="4" t="n"/>
      <x:c r="L209" s="4" t="n">
        <x:v>8000000000</x:v>
      </x:c>
      <x:c r="M209" s="4" t="n"/>
      <x:c r="N209" s="4" t="n"/>
      <x:c r="O209" s="4" t="n"/>
      <x:c r="P209" s="5" t="n"/>
      <x:c r="Q209" s="4" t="n"/>
      <x:c r="R209" s="4" t="n"/>
      <x:c r="S209" s="4" t="n"/>
      <x:c r="T209" s="4" t="n"/>
      <x:c r="U209" s="4" t="n"/>
      <x:c r="V209" s="4" t="n"/>
      <x:c r="W209" s="4" t="n"/>
      <x:c r="X209" s="2" t="n"/>
      <x:c r="Y209" s="5" t="n"/>
      <x:c r="Z209" s="5" t="n"/>
      <x:c r="AA209" s="5" t="n"/>
      <x:c r="AB209" s="5" t="n"/>
      <x:c r="AC209" s="5" t="n"/>
      <x:c r="AD209" s="5" t="n"/>
      <x:c r="AE209" s="5" t="n"/>
      <x:c r="AF209" s="5" t="n"/>
      <x:c r="AG209" s="2" t="n"/>
      <x:c r="AH209" s="2" t="n"/>
      <x:c r="AI209" s="2" t="n"/>
      <x:c r="AJ209" s="2" t="n"/>
      <x:c r="AK209" s="4" t="n"/>
      <x:c r="AL209" s="4" t="n"/>
      <x:c r="AM209" s="4" t="n"/>
      <x:c r="AN209" s="4" t="n"/>
      <x:c r="AO209" s="4" t="n"/>
    </x:row>
    <x:row r="210">
      <x:c r="A210" s="2" t="inlineStr">
        <x:is>
          <x:t xml:space="preserve">NVIDIA GeForce GTX 960</x:t>
        </x:is>
      </x:c>
      <x:c r="B210" s="2" t="str">
        <x:f>IFERROR(VLOOKUP(TRIM($A210),_classification_map!$A$2:$C$227,2,FALSE),"")</x:f>
        <x:v>Maxwell</x:v>
      </x:c>
      <x:c r="C210" s="2" t="str">
        <x:f>IFERROR(VLOOKUP(TRIM($A210),_classification_map!$A$2:$C$227,3,FALSE),"")</x:f>
        <x:v>GeForce GTX</x:v>
      </x:c>
      <x:c r="D210" s="2" t="inlineStr">
        <x:is>
          <x:t xml:space="preserve">NVIDIA</x:t>
        </x:is>
      </x:c>
      <x:c r="E210" s="2" t="inlineStr">
        <x:is>
          <x:t xml:space="preserve">GPU</x:t>
        </x:is>
      </x:c>
      <x:c r="F210" s="2" t="n"/>
      <x:c r="G210" s="2" t="n"/>
      <x:c r="H210" s="3" t="n"/>
      <x:c r="I210" s="4" t="n"/>
      <x:c r="J210" s="4" t="n"/>
      <x:c r="K210" s="4" t="n"/>
      <x:c r="L210" s="4" t="n">
        <x:v>4000000000</x:v>
      </x:c>
      <x:c r="M210" s="4" t="n"/>
      <x:c r="N210" s="4" t="n"/>
      <x:c r="O210" s="4" t="n"/>
      <x:c r="P210" s="5" t="n"/>
      <x:c r="Q210" s="4" t="n"/>
      <x:c r="R210" s="4" t="n"/>
      <x:c r="S210" s="4" t="n"/>
      <x:c r="T210" s="4" t="n"/>
      <x:c r="U210" s="4" t="n"/>
      <x:c r="V210" s="4" t="n"/>
      <x:c r="W210" s="4" t="n"/>
      <x:c r="X210" s="2" t="n"/>
      <x:c r="Y210" s="5" t="n"/>
      <x:c r="Z210" s="5" t="n"/>
      <x:c r="AA210" s="5" t="n"/>
      <x:c r="AB210" s="5" t="n"/>
      <x:c r="AC210" s="5" t="n"/>
      <x:c r="AD210" s="5" t="n"/>
      <x:c r="AE210" s="5" t="n"/>
      <x:c r="AF210" s="5" t="n"/>
      <x:c r="AG210" s="2" t="n"/>
      <x:c r="AH210" s="2" t="n"/>
      <x:c r="AI210" s="2" t="n"/>
      <x:c r="AJ210" s="2" t="n"/>
      <x:c r="AK210" s="4" t="n"/>
      <x:c r="AL210" s="4" t="n"/>
      <x:c r="AM210" s="4" t="n"/>
      <x:c r="AN210" s="4" t="n"/>
      <x:c r="AO210" s="4" t="n"/>
    </x:row>
    <x:row r="211">
      <x:c r="A211" s="2" t="inlineStr">
        <x:is>
          <x:t xml:space="preserve">NVIDIA GeForce RTX 2070</x:t>
        </x:is>
      </x:c>
      <x:c r="B211" s="2" t="str">
        <x:f>IFERROR(VLOOKUP(TRIM($A211),_classification_map!$A$2:$C$227,2,FALSE),"")</x:f>
        <x:v>Turing</x:v>
      </x:c>
      <x:c r="C211" s="2" t="str">
        <x:f>IFERROR(VLOOKUP(TRIM($A211),_classification_map!$A$2:$C$227,3,FALSE),"")</x:f>
        <x:v>GeForce RTX</x:v>
      </x:c>
      <x:c r="D211" s="2" t="inlineStr">
        <x:is>
          <x:t xml:space="preserve">NVIDIA</x:t>
        </x:is>
      </x:c>
      <x:c r="E211" s="2" t="inlineStr">
        <x:is>
          <x:t xml:space="preserve">GPU</x:t>
        </x:is>
      </x:c>
      <x:c r="F211" s="2" t="n"/>
      <x:c r="G211" s="2" t="n"/>
      <x:c r="H211" s="3" t="n"/>
      <x:c r="I211" s="4" t="n"/>
      <x:c r="J211" s="4" t="n"/>
      <x:c r="K211" s="4" t="n"/>
      <x:c r="L211" s="4" t="n">
        <x:v>8000000000</x:v>
      </x:c>
      <x:c r="M211" s="4" t="n"/>
      <x:c r="N211" s="4" t="n"/>
      <x:c r="O211" s="4" t="n"/>
      <x:c r="P211" s="5" t="n"/>
      <x:c r="Q211" s="4" t="n"/>
      <x:c r="R211" s="4" t="n"/>
      <x:c r="S211" s="4" t="n"/>
      <x:c r="T211" s="4" t="n"/>
      <x:c r="U211" s="4" t="n"/>
      <x:c r="V211" s="4" t="n"/>
      <x:c r="W211" s="4" t="n"/>
      <x:c r="X211" s="2" t="n"/>
      <x:c r="Y211" s="5" t="n"/>
      <x:c r="Z211" s="5" t="n"/>
      <x:c r="AA211" s="5" t="n"/>
      <x:c r="AB211" s="5" t="n"/>
      <x:c r="AC211" s="5" t="n"/>
      <x:c r="AD211" s="5" t="n"/>
      <x:c r="AE211" s="5" t="n"/>
      <x:c r="AF211" s="5" t="n"/>
      <x:c r="AG211" s="2" t="n"/>
      <x:c r="AH211" s="2" t="n"/>
      <x:c r="AI211" s="2" t="n"/>
      <x:c r="AJ211" s="2" t="n"/>
      <x:c r="AK211" s="4" t="n"/>
      <x:c r="AL211" s="4" t="n"/>
      <x:c r="AM211" s="4" t="n"/>
      <x:c r="AN211" s="4" t="n"/>
      <x:c r="AO211" s="4" t="n"/>
    </x:row>
    <x:row r="212">
      <x:c r="A212" s="2" t="inlineStr">
        <x:is>
          <x:t xml:space="preserve">NVIDIA RTX A5500</x:t>
        </x:is>
      </x:c>
      <x:c r="B212" s="2" t="str">
        <x:f>IFERROR(VLOOKUP(TRIM($A212),_classification_map!$A$2:$C$227,2,FALSE),"")</x:f>
        <x:v>Ampere</x:v>
      </x:c>
      <x:c r="C212" s="2" t="str">
        <x:f>IFERROR(VLOOKUP(TRIM($A212),_classification_map!$A$2:$C$227,3,FALSE),"")</x:f>
        <x:v>RTX Workstation</x:v>
      </x:c>
      <x:c r="D212" s="2" t="inlineStr">
        <x:is>
          <x:t xml:space="preserve">NVIDIA</x:t>
        </x:is>
      </x:c>
      <x:c r="E212" s="2" t="inlineStr">
        <x:is>
          <x:t xml:space="preserve">GPU</x:t>
        </x:is>
      </x:c>
      <x:c r="F212" s="2" t="n"/>
      <x:c r="G212" s="2" t="n"/>
      <x:c r="H212" s="3" t="n"/>
      <x:c r="I212" s="4" t="n">
        <x:v>197800000000000</x:v>
      </x:c>
      <x:c r="J212" s="4" t="n"/>
      <x:c r="K212" s="4" t="n"/>
      <x:c r="L212" s="4" t="n">
        <x:v>24000000000</x:v>
      </x:c>
      <x:c r="M212" s="4" t="n"/>
      <x:c r="N212" s="4" t="n"/>
      <x:c r="O212" s="4" t="n"/>
      <x:c r="P212" s="5" t="n"/>
      <x:c r="Q212" s="4" t="n"/>
      <x:c r="R212" s="4" t="n"/>
      <x:c r="S212" s="4" t="n"/>
      <x:c r="T212" s="4" t="n"/>
      <x:c r="U212" s="4" t="n"/>
      <x:c r="V212" s="4" t="n"/>
      <x:c r="W212" s="4" t="n"/>
      <x:c r="X212" s="2" t="n"/>
      <x:c r="Y212" s="5" t="n"/>
      <x:c r="Z212" s="5" t="n"/>
      <x:c r="AA212" s="5" t="n"/>
      <x:c r="AB212" s="5" t="n"/>
      <x:c r="AC212" s="5" t="n"/>
      <x:c r="AD212" s="5" t="n"/>
      <x:c r="AE212" s="5" t="n"/>
      <x:c r="AF212" s="5" t="n"/>
      <x:c r="AG212" s="2" t="n"/>
      <x:c r="AH212" s="2" t="n"/>
      <x:c r="AI212" s="2" t="n"/>
      <x:c r="AJ212" s="2" t="n"/>
      <x:c r="AK212" s="4" t="n"/>
      <x:c r="AL212" s="4" t="n"/>
      <x:c r="AM212" s="4" t="n"/>
      <x:c r="AN212" s="4" t="n"/>
      <x:c r="AO212" s="4" t="n"/>
    </x:row>
    <x:row r="213">
      <x:c r="A213" s="2" t="inlineStr">
        <x:is>
          <x:t xml:space="preserve">NVIDIA Tesla K40m</x:t>
        </x:is>
      </x:c>
      <x:c r="B213" s="2" t="str">
        <x:f>IFERROR(VLOOKUP(TRIM($A213),_classification_map!$A$2:$C$227,2,FALSE),"")</x:f>
        <x:v>Kepler</x:v>
      </x:c>
      <x:c r="C213" s="2" t="str">
        <x:f>IFERROR(VLOOKUP(TRIM($A213),_classification_map!$A$2:$C$227,3,FALSE),"")</x:f>
        <x:v>Tesla</x:v>
      </x:c>
      <x:c r="D213" s="2" t="inlineStr">
        <x:is>
          <x:t xml:space="preserve">NVIDIA</x:t>
        </x:is>
      </x:c>
      <x:c r="E213" s="2" t="inlineStr">
        <x:is>
          <x:t xml:space="preserve">GPU</x:t>
        </x:is>
      </x:c>
      <x:c r="F213" s="2" t="n"/>
      <x:c r="G213" s="2" t="n"/>
      <x:c r="H213" s="3" t="n"/>
      <x:c r="I213" s="4" t="n"/>
      <x:c r="J213" s="4" t="n"/>
      <x:c r="K213" s="4" t="n"/>
      <x:c r="L213" s="4" t="n">
        <x:v>12000000000</x:v>
      </x:c>
      <x:c r="M213" s="4" t="n"/>
      <x:c r="N213" s="4" t="n"/>
      <x:c r="O213" s="4" t="n"/>
      <x:c r="P213" s="5" t="n"/>
      <x:c r="Q213" s="4" t="n"/>
      <x:c r="R213" s="4" t="n"/>
      <x:c r="S213" s="4" t="n"/>
      <x:c r="T213" s="4" t="n"/>
      <x:c r="U213" s="4" t="n"/>
      <x:c r="V213" s="4" t="n"/>
      <x:c r="W213" s="4" t="n"/>
      <x:c r="X213" s="2" t="n"/>
      <x:c r="Y213" s="5" t="n"/>
      <x:c r="Z213" s="5" t="n"/>
      <x:c r="AA213" s="5" t="n"/>
      <x:c r="AB213" s="5" t="n"/>
      <x:c r="AC213" s="5" t="n"/>
      <x:c r="AD213" s="5" t="n"/>
      <x:c r="AE213" s="5" t="n"/>
      <x:c r="AF213" s="5" t="n"/>
      <x:c r="AG213" s="2" t="n"/>
      <x:c r="AH213" s="2" t="n"/>
      <x:c r="AI213" s="2" t="n"/>
      <x:c r="AJ213" s="2" t="n"/>
      <x:c r="AK213" s="4" t="n"/>
      <x:c r="AL213" s="4" t="n"/>
      <x:c r="AM213" s="4" t="n"/>
      <x:c r="AN213" s="4" t="n"/>
      <x:c r="AO213" s="4" t="n"/>
    </x:row>
    <x:row r="214">
      <x:c r="A214" s="2" t="inlineStr">
        <x:is>
          <x:t xml:space="preserve">NVIDIA GeForce MX110</x:t>
        </x:is>
      </x:c>
      <x:c r="B214" s="2" t="str">
        <x:f>IFERROR(VLOOKUP(TRIM($A214),_classification_map!$A$2:$C$227,2,FALSE),"")</x:f>
        <x:v>Maxwell</x:v>
      </x:c>
      <x:c r="C214" s="2" t="str">
        <x:f>IFERROR(VLOOKUP(TRIM($A214),_classification_map!$A$2:$C$227,3,FALSE),"")</x:f>
        <x:v>GeForce MX</x:v>
      </x:c>
      <x:c r="D214" s="2" t="inlineStr">
        <x:is>
          <x:t xml:space="preserve">NVIDIA</x:t>
        </x:is>
      </x:c>
      <x:c r="E214" s="2" t="inlineStr">
        <x:is>
          <x:t xml:space="preserve">GPU</x:t>
        </x:is>
      </x:c>
      <x:c r="F214" s="2" t="n"/>
      <x:c r="G214" s="2" t="n"/>
      <x:c r="H214" s="3" t="n"/>
      <x:c r="I214" s="4" t="n"/>
      <x:c r="J214" s="4" t="n"/>
      <x:c r="K214" s="4" t="n"/>
      <x:c r="L214" s="4" t="n">
        <x:v>2000000000</x:v>
      </x:c>
      <x:c r="M214" s="4" t="n"/>
      <x:c r="N214" s="4" t="n"/>
      <x:c r="O214" s="4" t="n"/>
      <x:c r="P214" s="5" t="n"/>
      <x:c r="Q214" s="4" t="n"/>
      <x:c r="R214" s="4" t="n"/>
      <x:c r="S214" s="4" t="n"/>
      <x:c r="T214" s="4" t="n"/>
      <x:c r="U214" s="4" t="n"/>
      <x:c r="V214" s="4" t="n"/>
      <x:c r="W214" s="4" t="n"/>
      <x:c r="X214" s="2" t="n"/>
      <x:c r="Y214" s="5" t="n"/>
      <x:c r="Z214" s="5" t="n"/>
      <x:c r="AA214" s="5" t="n"/>
      <x:c r="AB214" s="5" t="n"/>
      <x:c r="AC214" s="5" t="n"/>
      <x:c r="AD214" s="5" t="n"/>
      <x:c r="AE214" s="5" t="n"/>
      <x:c r="AF214" s="5" t="n"/>
      <x:c r="AG214" s="2" t="n"/>
      <x:c r="AH214" s="2" t="n"/>
      <x:c r="AI214" s="2" t="n"/>
      <x:c r="AJ214" s="2" t="n"/>
      <x:c r="AK214" s="4" t="n"/>
      <x:c r="AL214" s="4" t="n"/>
      <x:c r="AM214" s="4" t="n"/>
      <x:c r="AN214" s="4" t="n"/>
      <x:c r="AO214" s="4" t="n"/>
    </x:row>
    <x:row r="215">
      <x:c r="A215" s="2" t="inlineStr">
        <x:is>
          <x:t xml:space="preserve">AMD Radeon Pro WX 9100</x:t>
        </x:is>
      </x:c>
      <x:c r="B215" s="2" t="str">
        <x:f>IFERROR(VLOOKUP(TRIM($A215),_classification_map!$A$2:$C$227,2,FALSE),"")</x:f>
        <x:v>Vega</x:v>
      </x:c>
      <x:c r="C215" s="2" t="str">
        <x:f>IFERROR(VLOOKUP(TRIM($A215),_classification_map!$A$2:$C$227,3,FALSE),"")</x:f>
        <x:v>Radeon Pro WX</x:v>
      </x:c>
      <x:c r="D215" s="2" t="inlineStr">
        <x:is>
          <x:t xml:space="preserve">AMD</x:t>
        </x:is>
      </x:c>
      <x:c r="E215" s="2" t="inlineStr">
        <x:is>
          <x:t xml:space="preserve">GPU</x:t>
        </x:is>
      </x:c>
      <x:c r="F215" s="2" t="n"/>
      <x:c r="G215" s="2" t="n"/>
      <x:c r="H215" s="3" t="n"/>
      <x:c r="I215" s="4" t="n">
        <x:v>24600000000000</x:v>
      </x:c>
      <x:c r="J215" s="4" t="n"/>
      <x:c r="K215" s="4" t="n"/>
      <x:c r="L215" s="4" t="n">
        <x:v>16000000000</x:v>
      </x:c>
      <x:c r="M215" s="4" t="n"/>
      <x:c r="N215" s="4" t="n"/>
      <x:c r="O215" s="4" t="n"/>
      <x:c r="P215" s="5" t="n"/>
      <x:c r="Q215" s="4" t="n"/>
      <x:c r="R215" s="4" t="n"/>
      <x:c r="S215" s="4" t="n"/>
      <x:c r="T215" s="4" t="n"/>
      <x:c r="U215" s="4" t="n"/>
      <x:c r="V215" s="4" t="n"/>
      <x:c r="W215" s="4" t="n"/>
      <x:c r="X215" s="2" t="n"/>
      <x:c r="Y215" s="5" t="n"/>
      <x:c r="Z215" s="5" t="n"/>
      <x:c r="AA215" s="5" t="n"/>
      <x:c r="AB215" s="5" t="n"/>
      <x:c r="AC215" s="5" t="n"/>
      <x:c r="AD215" s="5" t="n"/>
      <x:c r="AE215" s="5" t="n"/>
      <x:c r="AF215" s="5" t="n"/>
      <x:c r="AG215" s="2" t="n"/>
      <x:c r="AH215" s="2" t="n"/>
      <x:c r="AI215" s="2" t="n"/>
      <x:c r="AJ215" s="2" t="n"/>
      <x:c r="AK215" s="4" t="n"/>
      <x:c r="AL215" s="4" t="n"/>
      <x:c r="AM215" s="4" t="n"/>
      <x:c r="AN215" s="4" t="n"/>
      <x:c r="AO215" s="4" t="n"/>
    </x:row>
    <x:row r="216">
      <x:c r="A216" s="2" t="inlineStr">
        <x:is>
          <x:t xml:space="preserve">NVIDIA GeForce RTX 4060 Ti</x:t>
        </x:is>
      </x:c>
      <x:c r="B216" s="2" t="str">
        <x:f>IFERROR(VLOOKUP(TRIM($A216),_classification_map!$A$2:$C$227,2,FALSE),"")</x:f>
        <x:v>Ada Lovelace</x:v>
      </x:c>
      <x:c r="C216" s="2" t="str">
        <x:f>IFERROR(VLOOKUP(TRIM($A216),_classification_map!$A$2:$C$227,3,FALSE),"")</x:f>
        <x:v>GeForce RTX</x:v>
      </x:c>
      <x:c r="D216" s="2" t="inlineStr">
        <x:is>
          <x:t xml:space="preserve">NVIDIA</x:t>
        </x:is>
      </x:c>
      <x:c r="E216" s="2" t="inlineStr">
        <x:is>
          <x:t xml:space="preserve">GPU</x:t>
        </x:is>
      </x:c>
      <x:c r="F216" s="2" t="n"/>
      <x:c r="G216" s="2" t="n"/>
      <x:c r="H216" s="3" t="n"/>
      <x:c r="I216" s="4" t="n">
        <x:v>44200000000001</x:v>
      </x:c>
      <x:c r="J216" s="4" t="n"/>
      <x:c r="K216" s="4" t="n"/>
      <x:c r="L216" s="4" t="n">
        <x:v>16000000000</x:v>
      </x:c>
      <x:c r="M216" s="4" t="n"/>
      <x:c r="N216" s="4" t="n"/>
      <x:c r="O216" s="4" t="n"/>
      <x:c r="P216" s="5" t="n"/>
      <x:c r="Q216" s="4" t="n"/>
      <x:c r="R216" s="4" t="n"/>
      <x:c r="S216" s="4" t="n"/>
      <x:c r="T216" s="4" t="n"/>
      <x:c r="U216" s="4" t="n"/>
      <x:c r="V216" s="4" t="n"/>
      <x:c r="W216" s="4" t="n"/>
      <x:c r="X216" s="2" t="n"/>
      <x:c r="Y216" s="5" t="n"/>
      <x:c r="Z216" s="5" t="n"/>
      <x:c r="AA216" s="5" t="n"/>
      <x:c r="AB216" s="5" t="n"/>
      <x:c r="AC216" s="5" t="n"/>
      <x:c r="AD216" s="5" t="n"/>
      <x:c r="AE216" s="5" t="n"/>
      <x:c r="AF216" s="5" t="n"/>
      <x:c r="AG216" s="2" t="n"/>
      <x:c r="AH216" s="2" t="n"/>
      <x:c r="AI216" s="2" t="n"/>
      <x:c r="AJ216" s="2" t="n"/>
      <x:c r="AK216" s="4" t="n"/>
      <x:c r="AL216" s="4" t="n"/>
      <x:c r="AM216" s="4" t="n"/>
      <x:c r="AN216" s="4" t="n"/>
      <x:c r="AO216" s="4" t="n"/>
    </x:row>
    <x:row r="217">
      <x:c r="A217" s="6" t="inlineStr">
        <x:is>
          <x:t xml:space="preserve">NVIDIA DGX-2</x:t>
        </x:is>
      </x:c>
      <x:c r="B217" s="2" t="str">
        <x:f>IFERROR(VLOOKUP(TRIM($A217),_classification_map!$A$2:$C$227,2,FALSE),"")</x:f>
        <x:v>Volta</x:v>
      </x:c>
      <x:c r="C217" s="2" t="str">
        <x:f>IFERROR(VLOOKUP(TRIM($A217),_classification_map!$A$2:$C$227,3,FALSE),"")</x:f>
        <x:v>DGX</x:v>
      </x:c>
      <x:c r="D217" s="2" t="inlineStr">
        <x:is>
          <x:t xml:space="preserve">NVIDIA</x:t>
        </x:is>
      </x:c>
      <x:c r="E217" t="inlineStr">
        <x:is>
          <x:t xml:space="preserve">Station</x:t>
        </x:is>
      </x:c>
      <x:c r="F217" t="inlineStr">
        <x:is>
          <x:t xml:space="preserve">16× 32GB Tesla V100 GPUs</x:t>
        </x:is>
      </x:c>
      <x:c r="I217">
        <x:f>16*I122</x:f>
        <x:v>2000000000000000</x:v>
      </x:c>
      <x:c r="L217">
        <x:f>16*L122</x:f>
        <x:v>512000000000</x:v>
      </x:c>
    </x:row>
    <x:row r="218">
      <x:c r="A218" t="inlineStr">
        <x:is>
          <x:t xml:space="preserve">AWS EC2 p4de.24xlarge</x:t>
        </x:is>
      </x:c>
      <x:c r="B218" s="2" t="str">
        <x:f>IFERROR(VLOOKUP(TRIM($A218),_classification_map!$A$2:$C$227,2,FALSE),"")</x:f>
        <x:v>Ampere</x:v>
      </x:c>
      <x:c r="C218" s="2" t="str">
        <x:f>IFERROR(VLOOKUP(TRIM($A218),_classification_map!$A$2:$C$227,3,FALSE),"")</x:f>
        <x:v>EC2 P-series</x:v>
      </x:c>
      <x:c r="D218" t="inlineStr">
        <x:is>
          <x:t xml:space="preserve">Amazon AWS</x:t>
        </x:is>
      </x:c>
      <x:c r="E218" t="inlineStr">
        <x:is>
          <x:t xml:space="preserve">Station</x:t>
        </x:is>
      </x:c>
      <x:c r="F218" t="inlineStr">
        <x:is>
          <x:t xml:space="preserve">8 × NVIDIA A100 GPU</x:t>
        </x:is>
      </x:c>
      <x:c r="I218">
        <x:f>8*I97</x:f>
        <x:v>2496000000000000</x:v>
      </x:c>
      <x:c r="L218">
        <x:f>8*L97</x:f>
        <x:v>640000000000</x:v>
      </x:c>
    </x:row>
    <x:row r="219">
      <x:c r="A219" t="inlineStr">
        <x:is>
          <x:t xml:space="preserve">NVIDIA Jetson Orin Nano 8GB</x:t>
        </x:is>
      </x:c>
      <x:c r="B219" s="2" t="str">
        <x:f>IFERROR(VLOOKUP(TRIM($A219),_classification_map!$A$2:$C$227,2,FALSE),"")</x:f>
        <x:v>Ampere</x:v>
      </x:c>
      <x:c r="C219" s="2" t="str">
        <x:f>IFERROR(VLOOKUP(TRIM($A219),_classification_map!$A$2:$C$227,3,FALSE),"")</x:f>
        <x:v>Jetson</x:v>
      </x:c>
      <x:c r="D219" s="2" t="inlineStr">
        <x:is>
          <x:t xml:space="preserve">NVIDIA</x:t>
        </x:is>
      </x:c>
      <x:c r="E219" s="2" t="inlineStr">
        <x:is>
          <x:t xml:space="preserve">GPU</x:t>
        </x:is>
      </x:c>
      <x:c r="I219" s="8" t="inlineStr">
        <x:is>
          <x:t xml:space="preserve">17000000000000</x:t>
        </x:is>
      </x:c>
      <x:c r="L219" t="n">
        <x:v>8000000000</x:v>
      </x:c>
    </x:row>
    <x:row r="220">
      <x:c r="A220" t="inlineStr">
        <x:is>
          <x:t xml:space="preserve">AWS EC2 g5.4xlarge</x:t>
        </x:is>
      </x:c>
      <x:c r="B220" s="2" t="str">
        <x:f>IFERROR(VLOOKUP(TRIM($A220),_classification_map!$A$2:$C$227,2,FALSE),"")</x:f>
        <x:v>Ampere</x:v>
      </x:c>
      <x:c r="C220" s="2" t="str">
        <x:f>IFERROR(VLOOKUP(TRIM($A220),_classification_map!$A$2:$C$227,3,FALSE),"")</x:f>
        <x:v>EC2 G-series</x:v>
      </x:c>
      <x:c r="D220" t="inlineStr">
        <x:is>
          <x:t xml:space="preserve">Amazon AWS</x:t>
        </x:is>
      </x:c>
      <x:c r="E220" t="inlineStr">
        <x:is>
          <x:t xml:space="preserve">Station</x:t>
        </x:is>
      </x:c>
      <x:c r="F220" t="inlineStr">
        <x:is>
          <x:t xml:space="preserve">A10G</x:t>
        </x:is>
      </x:c>
      <x:c r="I220" s="10" t="n">
        <x:v>125000000000000</x:v>
      </x:c>
      <x:c r="L220" t="n">
        <x:v>24000000000</x:v>
      </x:c>
    </x:row>
    <x:row r="221">
      <x:c r="A221" t="inlineStr">
        <x:is>
          <x:t xml:space="preserve">AWS EC2 p3.8xlarge</x:t>
        </x:is>
      </x:c>
      <x:c r="B221" s="2" t="str">
        <x:f>IFERROR(VLOOKUP(TRIM($A221),_classification_map!$A$2:$C$227,2,FALSE),"")</x:f>
        <x:v>Volta</x:v>
      </x:c>
      <x:c r="C221" s="2" t="str">
        <x:f>IFERROR(VLOOKUP(TRIM($A221),_classification_map!$A$2:$C$227,3,FALSE),"")</x:f>
        <x:v>EC2 P-series</x:v>
      </x:c>
      <x:c r="D221" t="inlineStr">
        <x:is>
          <x:t xml:space="preserve">Amazon AWS</x:t>
        </x:is>
      </x:c>
      <x:c r="E221" t="inlineStr">
        <x:is>
          <x:t xml:space="preserve">Station</x:t>
        </x:is>
      </x:c>
      <x:c r="F221" t="inlineStr">
        <x:is>
          <x:t xml:space="preserve">4 × NVIDIA V100 GPU</x:t>
        </x:is>
      </x:c>
      <x:c r="I221">
        <x:f>4*I59</x:f>
        <x:v>448000000000000</x:v>
      </x:c>
      <x:c r="L221">
        <x:f>4*L59</x:f>
        <x:v>64000000000</x:v>
      </x:c>
    </x:row>
    <x:row r="222">
      <x:c r="A222" s="6" t="inlineStr">
        <x:is>
          <x:t xml:space="preserve">NVIDIA DGX-1</x:t>
        </x:is>
      </x:c>
      <x:c r="B222" s="2" t="str">
        <x:f>IFERROR(VLOOKUP(TRIM($A222),_classification_map!$A$2:$C$227,2,FALSE),"")</x:f>
        <x:v>Pascal</x:v>
      </x:c>
      <x:c r="C222" s="2" t="str">
        <x:f>IFERROR(VLOOKUP(TRIM($A222),_classification_map!$A$2:$C$227,3,FALSE),"")</x:f>
        <x:v>DGX</x:v>
      </x:c>
      <x:c r="D222" s="2" t="inlineStr">
        <x:is>
          <x:t xml:space="preserve">NVIDIA</x:t>
        </x:is>
      </x:c>
      <x:c r="E222" s="2" t="inlineStr">
        <x:is>
          <x:t xml:space="preserve">GPU</x:t>
        </x:is>
      </x:c>
      <x:c r="F222" t="inlineStr">
        <x:is>
          <x:t xml:space="preserve">8× Tesla P100</x:t>
        </x:is>
      </x:c>
      <x:c r="I222" s="4" t="n">
        <x:v>125000000000000</x:v>
      </x:c>
      <x:c r="L222">
        <x:f>8*L43</x:f>
        <x:v>128000000000</x:v>
      </x:c>
    </x:row>
    <x:row r="223">
      <x:c r="A223" t="inlineStr">
        <x:is>
          <x:t xml:space="preserve">AWS EC2 p3.2xlarge</x:t>
        </x:is>
      </x:c>
      <x:c r="B223" s="2" t="str">
        <x:f>IFERROR(VLOOKUP(TRIM($A223),_classification_map!$A$2:$C$227,2,FALSE),"")</x:f>
        <x:v>Volta</x:v>
      </x:c>
      <x:c r="C223" s="2" t="str">
        <x:f>IFERROR(VLOOKUP(TRIM($A223),_classification_map!$A$2:$C$227,3,FALSE),"")</x:f>
        <x:v>EC2 P-series</x:v>
      </x:c>
      <x:c r="D223" s="2" t="inlineStr">
        <x:is>
          <x:t xml:space="preserve">Amazon AWS</x:t>
        </x:is>
      </x:c>
      <x:c r="E223" s="2" t="inlineStr">
        <x:is>
          <x:t xml:space="preserve">Station</x:t>
        </x:is>
      </x:c>
      <x:c r="F223" t="inlineStr">
        <x:is>
          <x:t xml:space="preserve">1 × NVIDIA V100 GPU</x:t>
        </x:is>
      </x:c>
      <x:c r="I223">
        <x:f>I59</x:f>
        <x:v>112000000000000</x:v>
      </x:c>
      <x:c r="L223">
        <x:f>L59</x:f>
        <x:v>16000000000</x:v>
      </x:c>
    </x:row>
    <x:row r="224">
      <x:c r="A224" t="inlineStr">
        <x:is>
          <x:t xml:space="preserve">AWS EC2 p3dn.24xlarge</x:t>
        </x:is>
      </x:c>
      <x:c r="B224" s="2" t="str">
        <x:f>IFERROR(VLOOKUP(TRIM($A224),_classification_map!$A$2:$C$227,2,FALSE),"")</x:f>
        <x:v>Volta</x:v>
      </x:c>
      <x:c r="C224" s="2" t="str">
        <x:f>IFERROR(VLOOKUP(TRIM($A224),_classification_map!$A$2:$C$227,3,FALSE),"")</x:f>
        <x:v>EC2 P-series</x:v>
      </x:c>
      <x:c r="D224" t="inlineStr">
        <x:is>
          <x:t xml:space="preserve">Amazon AWS</x:t>
        </x:is>
      </x:c>
      <x:c r="E224" t="inlineStr">
        <x:is>
          <x:t xml:space="preserve">Station</x:t>
        </x:is>
      </x:c>
      <x:c r="F224" s="6" t="inlineStr">
        <x:is>
          <x:t xml:space="preserve">8 × NVIDIA V100 GPU</x:t>
        </x:is>
      </x:c>
      <x:c r="I224">
        <x:f>8*I58</x:f>
        <x:v>896000000000000</x:v>
      </x:c>
      <x:c r="L224">
        <x:f>8*L58</x:f>
        <x:v>256000000000</x:v>
      </x:c>
    </x:row>
    <x:row r="225">
      <x:c r="A225" t="inlineStr">
        <x:is>
          <x:t xml:space="preserve">AWS EC2 p3.16xlarge</x:t>
        </x:is>
      </x:c>
      <x:c r="B225" s="2" t="str">
        <x:f>IFERROR(VLOOKUP(TRIM($A225),_classification_map!$A$2:$C$227,2,FALSE),"")</x:f>
        <x:v>Volta</x:v>
      </x:c>
      <x:c r="C225" s="2" t="str">
        <x:f>IFERROR(VLOOKUP(TRIM($A225),_classification_map!$A$2:$C$227,3,FALSE),"")</x:f>
        <x:v>EC2 P-series</x:v>
      </x:c>
      <x:c r="D225" t="inlineStr">
        <x:is>
          <x:t xml:space="preserve">Amazon AWS</x:t>
        </x:is>
      </x:c>
      <x:c r="E225" t="inlineStr">
        <x:is>
          <x:t xml:space="preserve">Station</x:t>
        </x:is>
      </x:c>
      <x:c r="F225" s="6" t="inlineStr">
        <x:is>
          <x:t xml:space="preserve">8 × NVIDIA V100 GPU</x:t>
        </x:is>
      </x:c>
      <x:c r="I225">
        <x:f>8*I59</x:f>
        <x:v>896000000000000</x:v>
      </x:c>
      <x:c r="L225">
        <x:f>8*L59</x:f>
        <x:v>128000000000</x:v>
      </x:c>
    </x:row>
    <x:row r="226">
      <x:c r="A226" s="6" t="inlineStr">
        <x:is>
          <x:t xml:space="preserve">NVIDIA DGX-2H</x:t>
        </x:is>
      </x:c>
      <x:c r="B226" s="2" t="str">
        <x:f>IFERROR(VLOOKUP(TRIM($A226),_classification_map!$A$2:$C$227,2,FALSE),"")</x:f>
        <x:v>Volta</x:v>
      </x:c>
      <x:c r="C226" s="2" t="str">
        <x:f>IFERROR(VLOOKUP(TRIM($A226),_classification_map!$A$2:$C$227,3,FALSE),"")</x:f>
        <x:v>DGX</x:v>
      </x:c>
      <x:c r="D226" s="2" t="inlineStr">
        <x:is>
          <x:t xml:space="preserve">NVIDIA</x:t>
        </x:is>
      </x:c>
      <x:c r="E226" t="inlineStr">
        <x:is>
          <x:t xml:space="preserve">Station</x:t>
        </x:is>
      </x:c>
      <x:c r="F226" t="inlineStr">
        <x:is>
          <x:t xml:space="preserve">16× NVIDIA Tesla V100</x:t>
        </x:is>
      </x:c>
      <x:c r="I226">
        <x:f>16*I58</x:f>
        <x:v>1792000000000000</x:v>
      </x:c>
      <x:c r="L226">
        <x:f>16*L58</x:f>
        <x:v>512000000000</x:v>
      </x:c>
    </x:row>
    <x:row r="227">
      <x:c r="A227" t="inlineStr">
        <x:is>
          <x:t xml:space="preserve"> NVIDIA DGX-1V</x:t>
        </x:is>
      </x:c>
      <x:c r="B227" s="2" t="str">
        <x:f>IFERROR(VLOOKUP(TRIM($A227),_classification_map!$A$2:$C$227,2,FALSE),"")</x:f>
        <x:v>Volta</x:v>
      </x:c>
      <x:c r="C227" s="2" t="str">
        <x:f>IFERROR(VLOOKUP(TRIM($A227),_classification_map!$A$2:$C$227,3,FALSE),"")</x:f>
        <x:v>DGX</x:v>
      </x:c>
      <x:c r="D227" s="2" t="inlineStr">
        <x:is>
          <x:t xml:space="preserve">NVIDIA</x:t>
        </x:is>
      </x:c>
      <x:c r="E227" t="inlineStr">
        <x:is>
          <x:t xml:space="preserve">Station</x:t>
        </x:is>
      </x:c>
      <x:c r="F227" t="inlineStr">
        <x:is>
          <x:t xml:space="preserve">8 × NVIDIA V100 GPU</x:t>
        </x:is>
      </x:c>
      <x:c r="I227">
        <x:f>8*I59</x:f>
        <x:v>896000000000000</x:v>
      </x:c>
      <x:c r="L227">
        <x:f>8*L59</x:f>
        <x:v>128000000000</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t="inlineStr">
        <x:is>
          <x:t xml:space="preserve">Hardware name</x:t>
        </x:is>
      </x:c>
      <x:c r="B1" t="inlineStr">
        <x:is>
          <x:t xml:space="preserve">Generation</x:t>
        </x:is>
      </x:c>
      <x:c r="C1" t="inlineStr">
        <x:is>
          <x:t xml:space="preserve">Family</x:t>
        </x:is>
      </x:c>
    </x:row>
    <x:row r="2">
      <x:c r="A2" t="inlineStr">
        <x:is>
          <x:t xml:space="preserve">NVIDIA RTX A4500</x:t>
        </x:is>
      </x:c>
      <x:c r="B2" t="inlineStr">
        <x:is>
          <x:t xml:space="preserve">Ampere</x:t>
        </x:is>
      </x:c>
      <x:c r="C2" t="inlineStr">
        <x:is>
          <x:t xml:space="preserve">RTX Workstation</x:t>
        </x:is>
      </x:c>
    </x:row>
    <x:row r="3">
      <x:c r="A3" t="inlineStr">
        <x:is>
          <x:t xml:space="preserve">Google TPU v1</x:t>
        </x:is>
      </x:c>
      <x:c r="B3" t="inlineStr">
        <x:is>
          <x:t xml:space="preserve">TPU v1</x:t>
        </x:is>
      </x:c>
      <x:c r="C3" t="inlineStr">
        <x:is>
          <x:t xml:space="preserve">TPU</x:t>
        </x:is>
      </x:c>
    </x:row>
    <x:row r="4">
      <x:c r="A4" t="inlineStr">
        <x:is>
          <x:t xml:space="preserve">Cambricon MLU270-F4</x:t>
        </x:is>
      </x:c>
      <x:c r="B4" t="inlineStr">
        <x:is>
          <x:t xml:space="preserve">MLU270</x:t>
        </x:is>
      </x:c>
      <x:c r="C4" t="inlineStr">
        <x:is>
          <x:t xml:space="preserve">MLU</x:t>
        </x:is>
      </x:c>
    </x:row>
    <x:row r="5">
      <x:c r="A5" t="inlineStr">
        <x:is>
          <x:t xml:space="preserve">NVIDIA GeForce RTX 3070 Ti</x:t>
        </x:is>
      </x:c>
      <x:c r="B5" t="inlineStr">
        <x:is>
          <x:t xml:space="preserve">Ampere</x:t>
        </x:is>
      </x:c>
      <x:c r="C5" t="inlineStr">
        <x:is>
          <x:t xml:space="preserve">GeForce RTX</x:t>
        </x:is>
      </x:c>
    </x:row>
    <x:row r="6">
      <x:c r="A6" t="inlineStr">
        <x:is>
          <x:t xml:space="preserve">Cambricon MLU270-S4</x:t>
        </x:is>
      </x:c>
      <x:c r="B6" t="inlineStr">
        <x:is>
          <x:t xml:space="preserve">MLU270</x:t>
        </x:is>
      </x:c>
      <x:c r="C6" t="inlineStr">
        <x:is>
          <x:t xml:space="preserve">MLU</x:t>
        </x:is>
      </x:c>
    </x:row>
    <x:row r="7">
      <x:c r="A7" t="inlineStr">
        <x:is>
          <x:t xml:space="preserve">PEZY-SC2</x:t>
        </x:is>
      </x:c>
      <x:c r="B7" t="inlineStr">
        <x:is>
          <x:t xml:space="preserve">SC2</x:t>
        </x:is>
      </x:c>
      <x:c r="C7" t="inlineStr">
        <x:is>
          <x:t xml:space="preserve">PEZY-SC</x:t>
        </x:is>
      </x:c>
    </x:row>
    <x:row r="8">
      <x:c r="A8" t="inlineStr">
        <x:is>
          <x:t xml:space="preserve">NVIDIA Tesla P4</x:t>
        </x:is>
      </x:c>
      <x:c r="B8" t="inlineStr">
        <x:is>
          <x:t xml:space="preserve">Pascal</x:t>
        </x:is>
      </x:c>
      <x:c r="C8" t="inlineStr">
        <x:is>
          <x:t xml:space="preserve">Tesla</x:t>
        </x:is>
      </x:c>
    </x:row>
    <x:row r="9">
      <x:c r="A9" t="inlineStr">
        <x:is>
          <x:t xml:space="preserve">NVIDIA Tesla K20c</x:t>
        </x:is>
      </x:c>
      <x:c r="B9" t="inlineStr">
        <x:is>
          <x:t xml:space="preserve">Kepler</x:t>
        </x:is>
      </x:c>
      <x:c r="C9" t="inlineStr">
        <x:is>
          <x:t xml:space="preserve">Tesla</x:t>
        </x:is>
      </x:c>
    </x:row>
    <x:row r="10">
      <x:c r="A10" t="inlineStr">
        <x:is>
          <x:t xml:space="preserve">NVIDIA GB300 (Blackwell Ultra)</x:t>
        </x:is>
      </x:c>
      <x:c r="B10" t="inlineStr">
        <x:is>
          <x:t xml:space="preserve">Blackwell Ultra</x:t>
        </x:is>
      </x:c>
      <x:c r="C10" t="inlineStr">
        <x:is>
          <x:t xml:space="preserve">Grace Blackwell</x:t>
        </x:is>
      </x:c>
    </x:row>
    <x:row r="11">
      <x:c r="A11" t="inlineStr">
        <x:is>
          <x:t xml:space="preserve">NVIDIA Tesla K80</x:t>
        </x:is>
      </x:c>
      <x:c r="B11" t="inlineStr">
        <x:is>
          <x:t xml:space="preserve">Kepler</x:t>
        </x:is>
      </x:c>
      <x:c r="C11" t="inlineStr">
        <x:is>
          <x:t xml:space="preserve">Tesla</x:t>
        </x:is>
      </x:c>
    </x:row>
    <x:row r="12">
      <x:c r="A12" t="inlineStr">
        <x:is>
          <x:t xml:space="preserve">NVIDIA M40</x:t>
        </x:is>
      </x:c>
      <x:c r="B12" t="inlineStr">
        <x:is>
          <x:t xml:space="preserve">Maxwell</x:t>
        </x:is>
      </x:c>
      <x:c r="C12" t="inlineStr">
        <x:is>
          <x:t xml:space="preserve">Tesla</x:t>
        </x:is>
      </x:c>
    </x:row>
    <x:row r="13">
      <x:c r="A13" t="inlineStr">
        <x:is>
          <x:t xml:space="preserve">NVIDIA Tesla K40s</x:t>
        </x:is>
      </x:c>
      <x:c r="B13" t="inlineStr">
        <x:is>
          <x:t xml:space="preserve">Kepler</x:t>
        </x:is>
      </x:c>
      <x:c r="C13" t="inlineStr">
        <x:is>
          <x:t xml:space="preserve">Tesla</x:t>
        </x:is>
      </x:c>
    </x:row>
    <x:row r="14">
      <x:c r="A14" t="inlineStr">
        <x:is>
          <x:t xml:space="preserve">NVIDIA GB200</x:t>
        </x:is>
      </x:c>
      <x:c r="B14" t="inlineStr">
        <x:is>
          <x:t xml:space="preserve">Blackwell</x:t>
        </x:is>
      </x:c>
      <x:c r="C14" t="inlineStr">
        <x:is>
          <x:t xml:space="preserve">Grace Blackwell</x:t>
        </x:is>
      </x:c>
    </x:row>
    <x:row r="15">
      <x:c r="A15" t="inlineStr">
        <x:is>
          <x:t xml:space="preserve">NVIDIA Tesla K40t</x:t>
        </x:is>
      </x:c>
      <x:c r="B15" t="inlineStr">
        <x:is>
          <x:t xml:space="preserve">Kepler</x:t>
        </x:is>
      </x:c>
      <x:c r="C15" t="inlineStr">
        <x:is>
          <x:t xml:space="preserve">Tesla</x:t>
        </x:is>
      </x:c>
    </x:row>
    <x:row r="16">
      <x:c r="A16" t="inlineStr">
        <x:is>
          <x:t xml:space="preserve">NVIDIA L2 PCle</x:t>
        </x:is>
      </x:c>
      <x:c r="B16" t="inlineStr">
        <x:is>
          <x:t xml:space="preserve">Ada Lovelace</x:t>
        </x:is>
      </x:c>
      <x:c r="C16" t="inlineStr">
        <x:is>
          <x:t xml:space="preserve">Datacenter L-series</x:t>
        </x:is>
      </x:c>
    </x:row>
    <x:row r="17">
      <x:c r="A17" t="inlineStr">
        <x:is>
          <x:t xml:space="preserve">NVIDIA L4</x:t>
        </x:is>
      </x:c>
      <x:c r="B17" t="inlineStr">
        <x:is>
          <x:t xml:space="preserve">Ada Lovelace</x:t>
        </x:is>
      </x:c>
      <x:c r="C17" t="inlineStr">
        <x:is>
          <x:t xml:space="preserve">Datacenter L-series</x:t>
        </x:is>
      </x:c>
    </x:row>
    <x:row r="18">
      <x:c r="A18" t="inlineStr">
        <x:is>
          <x:t xml:space="preserve">Cambricon MLU370-S4/S8</x:t>
        </x:is>
      </x:c>
      <x:c r="B18" t="inlineStr">
        <x:is>
          <x:t xml:space="preserve">MLU370</x:t>
        </x:is>
      </x:c>
      <x:c r="C18" t="inlineStr">
        <x:is>
          <x:t xml:space="preserve">MLU</x:t>
        </x:is>
      </x:c>
    </x:row>
    <x:row r="19">
      <x:c r="A19" t="inlineStr">
        <x:is>
          <x:t xml:space="preserve">Cambricon MLU370-X4</x:t>
        </x:is>
      </x:c>
      <x:c r="B19" t="inlineStr">
        <x:is>
          <x:t xml:space="preserve">MLU370</x:t>
        </x:is>
      </x:c>
      <x:c r="C19" t="inlineStr">
        <x:is>
          <x:t xml:space="preserve">MLU</x:t>
        </x:is>
      </x:c>
    </x:row>
    <x:row r="20">
      <x:c r="A20" t="inlineStr">
        <x:is>
          <x:t xml:space="preserve">Cambricon MLU370-S8</x:t>
        </x:is>
      </x:c>
      <x:c r="B20" t="inlineStr">
        <x:is>
          <x:t xml:space="preserve">MLU370</x:t>
        </x:is>
      </x:c>
      <x:c r="C20" t="inlineStr">
        <x:is>
          <x:t xml:space="preserve">MLU</x:t>
        </x:is>
      </x:c>
    </x:row>
    <x:row r="21">
      <x:c r="A21" t="inlineStr">
        <x:is>
          <x:t xml:space="preserve">Cambricon MLU370-S4</x:t>
        </x:is>
      </x:c>
      <x:c r="B21" t="inlineStr">
        <x:is>
          <x:t xml:space="preserve">MLU370</x:t>
        </x:is>
      </x:c>
      <x:c r="C21" t="inlineStr">
        <x:is>
          <x:t xml:space="preserve">MLU</x:t>
        </x:is>
      </x:c>
    </x:row>
    <x:row r="22">
      <x:c r="A22" t="inlineStr">
        <x:is>
          <x:t xml:space="preserve">NVIDIA Tesla T4</x:t>
        </x:is>
      </x:c>
      <x:c r="B22" t="inlineStr">
        <x:is>
          <x:t xml:space="preserve">Turing</x:t>
        </x:is>
      </x:c>
      <x:c r="C22" t="inlineStr">
        <x:is>
          <x:t xml:space="preserve">Tesla</x:t>
        </x:is>
      </x:c>
    </x:row>
    <x:row r="23">
      <x:c r="A23" t="inlineStr">
        <x:is>
          <x:t xml:space="preserve">NVIDIA TESLA M60</x:t>
        </x:is>
      </x:c>
      <x:c r="B23" t="inlineStr">
        <x:is>
          <x:t xml:space="preserve">Maxwell</x:t>
        </x:is>
      </x:c>
      <x:c r="C23" t="inlineStr">
        <x:is>
          <x:t xml:space="preserve">Tesla</x:t>
        </x:is>
      </x:c>
    </x:row>
    <x:row r="24">
      <x:c r="A24" t="inlineStr">
        <x:is>
          <x:t xml:space="preserve">Baidu Kunlun R100 (75W)</x:t>
        </x:is>
      </x:c>
      <x:c r="B24" t="inlineStr">
        <x:is>
          <x:t xml:space="preserve">R100</x:t>
        </x:is>
      </x:c>
      <x:c r="C24" t="inlineStr">
        <x:is>
          <x:t xml:space="preserve">Kunlun</x:t>
        </x:is>
      </x:c>
    </x:row>
    <x:row r="25">
      <x:c r="A25" t="inlineStr">
        <x:is>
          <x:t xml:space="preserve">Baidu Kunlun R100 (100W)</x:t>
        </x:is>
      </x:c>
      <x:c r="B25" t="inlineStr">
        <x:is>
          <x:t xml:space="preserve">R100</x:t>
        </x:is>
      </x:c>
      <x:c r="C25" t="inlineStr">
        <x:is>
          <x:t xml:space="preserve">Kunlun</x:t>
        </x:is>
      </x:c>
    </x:row>
    <x:row r="26">
      <x:c r="A26" t="inlineStr">
        <x:is>
          <x:t xml:space="preserve">Baidu Kunlun RG800</x:t>
        </x:is>
      </x:c>
      <x:c r="B26" t="inlineStr">
        <x:is>
          <x:t xml:space="preserve">RG800</x:t>
        </x:is>
      </x:c>
      <x:c r="C26" t="inlineStr">
        <x:is>
          <x:t xml:space="preserve">Kunlun</x:t>
        </x:is>
      </x:c>
    </x:row>
    <x:row r="27">
      <x:c r="A27" t="inlineStr">
        <x:is>
          <x:t xml:space="preserve">Baidu Kunlun R200 (150W)</x:t>
        </x:is>
      </x:c>
      <x:c r="B27" t="inlineStr">
        <x:is>
          <x:t xml:space="preserve">R200</x:t>
        </x:is>
      </x:c>
      <x:c r="C27" t="inlineStr">
        <x:is>
          <x:t xml:space="preserve">Kunlun</x:t>
        </x:is>
      </x:c>
    </x:row>
    <x:row r="28">
      <x:c r="A28" t="inlineStr">
        <x:is>
          <x:t xml:space="preserve">Baidu Kunlun R200-8F (160W)</x:t>
        </x:is>
      </x:c>
      <x:c r="B28" t="inlineStr">
        <x:is>
          <x:t xml:space="preserve">R200</x:t>
        </x:is>
      </x:c>
      <x:c r="C28" t="inlineStr">
        <x:is>
          <x:t xml:space="preserve">Kunlun</x:t>
        </x:is>
      </x:c>
    </x:row>
    <x:row r="29">
      <x:c r="A29" t="inlineStr">
        <x:is>
          <x:t xml:space="preserve">Baidu Kunlun II</x:t>
        </x:is>
      </x:c>
      <x:c r="B29" t="inlineStr">
        <x:is>
          <x:t xml:space="preserve">Kunlun II</x:t>
        </x:is>
      </x:c>
      <x:c r="C29" t="inlineStr">
        <x:is>
          <x:t xml:space="preserve">Kunlun</x:t>
        </x:is>
      </x:c>
    </x:row>
    <x:row r="30">
      <x:c r="A30" t="inlineStr">
        <x:is>
          <x:t xml:space="preserve">Baidu Kunlun K200</x:t>
        </x:is>
      </x:c>
      <x:c r="B30" t="inlineStr">
        <x:is>
          <x:t xml:space="preserve">K200</x:t>
        </x:is>
      </x:c>
      <x:c r="C30" t="inlineStr">
        <x:is>
          <x:t xml:space="preserve">Kunlun</x:t>
        </x:is>
      </x:c>
    </x:row>
    <x:row r="31">
      <x:c r="A31" t="inlineStr">
        <x:is>
          <x:t xml:space="preserve">Sunway SW26010-Pro</x:t>
        </x:is>
      </x:c>
      <x:c r="B31" t="inlineStr">
        <x:is>
          <x:t xml:space="preserve">Pro</x:t>
        </x:is>
      </x:c>
      <x:c r="C31" t="inlineStr">
        <x:is>
          <x:t xml:space="preserve">SW26010</x:t>
        </x:is>
      </x:c>
    </x:row>
    <x:row r="32">
      <x:c r="A32" t="inlineStr">
        <x:is>
          <x:t xml:space="preserve">Baidu Kunlun I</x:t>
        </x:is>
      </x:c>
      <x:c r="B32" t="inlineStr">
        <x:is>
          <x:t xml:space="preserve">Kunlun I</x:t>
        </x:is>
      </x:c>
      <x:c r="C32" t="inlineStr">
        <x:is>
          <x:t xml:space="preserve">Kunlun</x:t>
        </x:is>
      </x:c>
    </x:row>
    <x:row r="33">
      <x:c r="A33" t="inlineStr">
        <x:is>
          <x:t xml:space="preserve">NVIDIA Tesla P100 PCIe 12GB</x:t>
        </x:is>
      </x:c>
      <x:c r="B33" t="inlineStr">
        <x:is>
          <x:t xml:space="preserve">Pascal</x:t>
        </x:is>
      </x:c>
      <x:c r="C33" t="inlineStr">
        <x:is>
          <x:t xml:space="preserve">Tesla</x:t>
        </x:is>
      </x:c>
    </x:row>
    <x:row r="34">
      <x:c r="A34" t="inlineStr">
        <x:is>
          <x:t xml:space="preserve">Google TPU v2</x:t>
        </x:is>
      </x:c>
      <x:c r="B34" t="inlineStr">
        <x:is>
          <x:t xml:space="preserve">TPU v2</x:t>
        </x:is>
      </x:c>
      <x:c r="C34" t="inlineStr">
        <x:is>
          <x:t xml:space="preserve">TPU</x:t>
        </x:is>
      </x:c>
    </x:row>
    <x:row r="35">
      <x:c r="A35" t="inlineStr">
        <x:is>
          <x:t xml:space="preserve">NVIDIA A10</x:t>
        </x:is>
      </x:c>
      <x:c r="B35" t="inlineStr">
        <x:is>
          <x:t xml:space="preserve">Ampere</x:t>
        </x:is>
      </x:c>
      <x:c r="C35" t="inlineStr">
        <x:is>
          <x:t xml:space="preserve">Datacenter A-series</x:t>
        </x:is>
      </x:c>
    </x:row>
    <x:row r="36">
      <x:c r="A36" t="inlineStr">
        <x:is>
          <x:t xml:space="preserve">NVIDIA GH200</x:t>
        </x:is>
      </x:c>
      <x:c r="B36" t="inlineStr">
        <x:is>
          <x:t xml:space="preserve">Hopper</x:t>
        </x:is>
      </x:c>
      <x:c r="C36" t="inlineStr">
        <x:is>
          <x:t xml:space="preserve">Grace Hopper</x:t>
        </x:is>
      </x:c>
    </x:row>
    <x:row r="37">
      <x:c r="A37" t="inlineStr">
        <x:is>
          <x:t xml:space="preserve">NVIDIA A10G</x:t>
        </x:is>
      </x:c>
      <x:c r="B37" t="inlineStr">
        <x:is>
          <x:t xml:space="preserve">Ampere</x:t>
        </x:is>
      </x:c>
      <x:c r="C37" t="inlineStr">
        <x:is>
          <x:t xml:space="preserve">Datacenter A-series</x:t>
        </x:is>
      </x:c>
    </x:row>
    <x:row r="38">
      <x:c r="A38" t="inlineStr">
        <x:is>
          <x:t xml:space="preserve">NVIDIA A10 PCIe</x:t>
        </x:is>
      </x:c>
      <x:c r="B38" t="inlineStr">
        <x:is>
          <x:t xml:space="preserve">Ampere</x:t>
        </x:is>
      </x:c>
      <x:c r="C38" t="inlineStr">
        <x:is>
          <x:t xml:space="preserve">Datacenter A-series</x:t>
        </x:is>
      </x:c>
    </x:row>
    <x:row r="39">
      <x:c r="A39" t="inlineStr">
        <x:is>
          <x:t xml:space="preserve">Google TPU v4i</x:t>
        </x:is>
      </x:c>
      <x:c r="B39" t="inlineStr">
        <x:is>
          <x:t xml:space="preserve">TPU v4i</x:t>
        </x:is>
      </x:c>
      <x:c r="C39" t="inlineStr">
        <x:is>
          <x:t xml:space="preserve">TPU</x:t>
        </x:is>
      </x:c>
    </x:row>
    <x:row r="40">
      <x:c r="A40" t="inlineStr">
        <x:is>
          <x:t xml:space="preserve">Cambricon MLU370-X8</x:t>
        </x:is>
      </x:c>
      <x:c r="B40" t="inlineStr">
        <x:is>
          <x:t xml:space="preserve">MLU370</x:t>
        </x:is>
      </x:c>
      <x:c r="C40" t="inlineStr">
        <x:is>
          <x:t xml:space="preserve">MLU</x:t>
        </x:is>
      </x:c>
    </x:row>
    <x:row r="41">
      <x:c r="A41" t="inlineStr">
        <x:is>
          <x:t xml:space="preserve">NVIDIA P40</x:t>
        </x:is>
      </x:c>
      <x:c r="B41" t="inlineStr">
        <x:is>
          <x:t xml:space="preserve">Pascal</x:t>
        </x:is>
      </x:c>
      <x:c r="C41" t="inlineStr">
        <x:is>
          <x:t xml:space="preserve">Tesla</x:t>
        </x:is>
      </x:c>
    </x:row>
    <x:row r="42">
      <x:c r="A42" t="inlineStr">
        <x:is>
          <x:t xml:space="preserve">NVIDIA A40 PCIe</x:t>
        </x:is>
      </x:c>
      <x:c r="B42" t="inlineStr">
        <x:is>
          <x:t xml:space="preserve">Ampere</x:t>
        </x:is>
      </x:c>
      <x:c r="C42" t="inlineStr">
        <x:is>
          <x:t xml:space="preserve">Datacenter A-series</x:t>
        </x:is>
      </x:c>
    </x:row>
    <x:row r="43">
      <x:c r="A43" t="inlineStr">
        <x:is>
          <x:t xml:space="preserve">NVIDIA P100 PCIe 16GB</x:t>
        </x:is>
      </x:c>
      <x:c r="B43" t="inlineStr">
        <x:is>
          <x:t xml:space="preserve">Pascal</x:t>
        </x:is>
      </x:c>
      <x:c r="C43" t="inlineStr">
        <x:is>
          <x:t xml:space="preserve">Tesla</x:t>
        </x:is>
      </x:c>
    </x:row>
    <x:row r="44">
      <x:c r="A44" t="inlineStr">
        <x:is>
          <x:t xml:space="preserve">NVIDIA P100</x:t>
        </x:is>
      </x:c>
      <x:c r="B44" t="inlineStr">
        <x:is>
          <x:t xml:space="preserve">Pascal</x:t>
        </x:is>
      </x:c>
      <x:c r="C44" t="inlineStr">
        <x:is>
          <x:t xml:space="preserve">Tesla</x:t>
        </x:is>
      </x:c>
    </x:row>
    <x:row r="45">
      <x:c r="A45" t="inlineStr">
        <x:is>
          <x:t xml:space="preserve">NVIDIA GeForce RTX 4070</x:t>
        </x:is>
      </x:c>
      <x:c r="B45" t="inlineStr">
        <x:is>
          <x:t xml:space="preserve">Ada Lovelace</x:t>
        </x:is>
      </x:c>
      <x:c r="C45" t="inlineStr">
        <x:is>
          <x:t xml:space="preserve">GeForce RTX</x:t>
        </x:is>
      </x:c>
    </x:row>
    <x:row r="46">
      <x:c r="A46" t="inlineStr">
        <x:is>
          <x:t xml:space="preserve">NVIDIA Tesla P100 PCIe 16GB</x:t>
        </x:is>
      </x:c>
      <x:c r="B46" t="inlineStr">
        <x:is>
          <x:t xml:space="preserve">Pascal</x:t>
        </x:is>
      </x:c>
      <x:c r="C46" t="inlineStr">
        <x:is>
          <x:t xml:space="preserve">Tesla</x:t>
        </x:is>
      </x:c>
    </x:row>
    <x:row r="47">
      <x:c r="A47" t="inlineStr">
        <x:is>
          <x:t xml:space="preserve">MTT S4000</x:t>
        </x:is>
      </x:c>
      <x:c r="B47" t="inlineStr">
        <x:is>
          <x:t xml:space="preserve">S4000</x:t>
        </x:is>
      </x:c>
      <x:c r="C47" t="inlineStr">
        <x:is>
          <x:t xml:space="preserve">MTT</x:t>
        </x:is>
      </x:c>
    </x:row>
    <x:row r="48">
      <x:c r="A48" t="inlineStr">
        <x:is>
          <x:t xml:space="preserve">Meta MTIA v1 (MTIA 100)</x:t>
        </x:is>
      </x:c>
      <x:c r="B48" t="inlineStr">
        <x:is>
          <x:t xml:space="preserve">MTIA v1</x:t>
        </x:is>
      </x:c>
      <x:c r="C48" t="inlineStr">
        <x:is>
          <x:t xml:space="preserve">MTIA</x:t>
        </x:is>
      </x:c>
    </x:row>
    <x:row r="49">
      <x:c r="A49" t="inlineStr">
        <x:is>
          <x:t xml:space="preserve">Huawei Ascend 910B4</x:t>
        </x:is>
      </x:c>
      <x:c r="B49" t="inlineStr">
        <x:is>
          <x:t xml:space="preserve">Ascend 910B</x:t>
        </x:is>
      </x:c>
      <x:c r="C49" t="inlineStr">
        <x:is>
          <x:t xml:space="preserve">Ascend</x:t>
        </x:is>
      </x:c>
    </x:row>
    <x:row r="50">
      <x:c r="A50" t="inlineStr">
        <x:is>
          <x:t xml:space="preserve">Google TPU v5e</x:t>
        </x:is>
      </x:c>
      <x:c r="B50" t="inlineStr">
        <x:is>
          <x:t xml:space="preserve">TPU v5e</x:t>
        </x:is>
      </x:c>
      <x:c r="C50" t="inlineStr">
        <x:is>
          <x:t xml:space="preserve">TPU</x:t>
        </x:is>
      </x:c>
    </x:row>
    <x:row r="51">
      <x:c r="A51" t="inlineStr">
        <x:is>
          <x:t xml:space="preserve">AWS Inferentia2</x:t>
        </x:is>
      </x:c>
      <x:c r="B51" t="inlineStr">
        <x:is>
          <x:t xml:space="preserve">Inferentia2</x:t>
        </x:is>
      </x:c>
      <x:c r="C51" t="inlineStr">
        <x:is>
          <x:t xml:space="preserve">Inferentia</x:t>
        </x:is>
      </x:c>
    </x:row>
    <x:row r="52">
      <x:c r="A52" t="inlineStr">
        <x:is>
          <x:t xml:space="preserve">Amazon Trainium1</x:t>
        </x:is>
      </x:c>
      <x:c r="B52" t="inlineStr">
        <x:is>
          <x:t xml:space="preserve">Trainium1</x:t>
        </x:is>
      </x:c>
      <x:c r="C52" t="inlineStr">
        <x:is>
          <x:t xml:space="preserve">Trainium</x:t>
        </x:is>
      </x:c>
    </x:row>
    <x:row r="53">
      <x:c r="A53" t="inlineStr">
        <x:is>
          <x:t xml:space="preserve">NVIDIA L20 PCle</x:t>
        </x:is>
      </x:c>
      <x:c r="B53" t="inlineStr">
        <x:is>
          <x:t xml:space="preserve">Ada Lovelace</x:t>
        </x:is>
      </x:c>
      <x:c r="C53" t="inlineStr">
        <x:is>
          <x:t xml:space="preserve">Datacenter L-series</x:t>
        </x:is>
      </x:c>
    </x:row>
    <x:row r="54">
      <x:c r="A54" t="inlineStr">
        <x:is>
          <x:t xml:space="preserve">NVIDIA RTX 6000 Ada Generation</x:t>
        </x:is>
      </x:c>
      <x:c r="B54" t="inlineStr">
        <x:is>
          <x:t xml:space="preserve">Ada Lovelace</x:t>
        </x:is>
      </x:c>
      <x:c r="C54" t="inlineStr">
        <x:is>
          <x:t xml:space="preserve">RTX Workstation</x:t>
        </x:is>
      </x:c>
    </x:row>
    <x:row r="55">
      <x:c r="A55" t="inlineStr">
        <x:is>
          <x:t xml:space="preserve">NVIDIA L40</x:t>
        </x:is>
      </x:c>
      <x:c r="B55" t="inlineStr">
        <x:is>
          <x:t xml:space="preserve">Ada Lovelace</x:t>
        </x:is>
      </x:c>
      <x:c r="C55" t="inlineStr">
        <x:is>
          <x:t xml:space="preserve">Datacenter L-series</x:t>
        </x:is>
      </x:c>
    </x:row>
    <x:row r="56">
      <x:c r="A56" t="inlineStr">
        <x:is>
          <x:t xml:space="preserve">AMD Radeon RX 7900 XTX</x:t>
        </x:is>
      </x:c>
      <x:c r="B56" t="inlineStr">
        <x:is>
          <x:t xml:space="preserve">RDNA 3</x:t>
        </x:is>
      </x:c>
      <x:c r="C56" t="inlineStr">
        <x:is>
          <x:t xml:space="preserve">Radeon RX</x:t>
        </x:is>
      </x:c>
    </x:row>
    <x:row r="57">
      <x:c r="A57" t="inlineStr">
        <x:is>
          <x:t xml:space="preserve">NVIDIA L40S</x:t>
        </x:is>
      </x:c>
      <x:c r="B57" t="inlineStr">
        <x:is>
          <x:t xml:space="preserve">Ada Lovelace</x:t>
        </x:is>
      </x:c>
      <x:c r="C57" t="inlineStr">
        <x:is>
          <x:t xml:space="preserve">Datacenter L-series</x:t>
        </x:is>
      </x:c>
    </x:row>
    <x:row r="58">
      <x:c r="A58" t="inlineStr">
        <x:is>
          <x:t xml:space="preserve">NVIDIA Tesla V100 PCIe 32 GB</x:t>
        </x:is>
      </x:c>
      <x:c r="B58" t="inlineStr">
        <x:is>
          <x:t xml:space="preserve">Volta</x:t>
        </x:is>
      </x:c>
      <x:c r="C58" t="inlineStr">
        <x:is>
          <x:t xml:space="preserve">Tesla</x:t>
        </x:is>
      </x:c>
    </x:row>
    <x:row r="59">
      <x:c r="A59" t="inlineStr">
        <x:is>
          <x:t xml:space="preserve">NVIDIA Tesla V100 PCIe 16 GB</x:t>
        </x:is>
      </x:c>
      <x:c r="B59" t="inlineStr">
        <x:is>
          <x:t xml:space="preserve">Volta</x:t>
        </x:is>
      </x:c>
      <x:c r="C59" t="inlineStr">
        <x:is>
          <x:t xml:space="preserve">Tesla</x:t>
        </x:is>
      </x:c>
    </x:row>
    <x:row r="60">
      <x:c r="A60" t="inlineStr">
        <x:is>
          <x:t xml:space="preserve">NVIDIA Tesla V100 SXM2 16 GB</x:t>
        </x:is>
      </x:c>
      <x:c r="B60" t="inlineStr">
        <x:is>
          <x:t xml:space="preserve">Volta</x:t>
        </x:is>
      </x:c>
      <x:c r="C60" t="inlineStr">
        <x:is>
          <x:t xml:space="preserve">Tesla</x:t>
        </x:is>
      </x:c>
    </x:row>
    <x:row r="61">
      <x:c r="A61" t="inlineStr">
        <x:is>
          <x:t xml:space="preserve">NVIDIA Tesla V100 SXM3 32 GB</x:t>
        </x:is>
      </x:c>
      <x:c r="B61" t="inlineStr">
        <x:is>
          <x:t xml:space="preserve">Volta</x:t>
        </x:is>
      </x:c>
      <x:c r="C61" t="inlineStr">
        <x:is>
          <x:t xml:space="preserve">Tesla</x:t>
        </x:is>
      </x:c>
    </x:row>
    <x:row r="62">
      <x:c r="A62" t="inlineStr">
        <x:is>
          <x:t xml:space="preserve">NVIDIA GeForce RTX 4090</x:t>
        </x:is>
      </x:c>
      <x:c r="B62" t="inlineStr">
        <x:is>
          <x:t xml:space="preserve">Ada Lovelace</x:t>
        </x:is>
      </x:c>
      <x:c r="C62" t="inlineStr">
        <x:is>
          <x:t xml:space="preserve">GeForce RTX</x:t>
        </x:is>
      </x:c>
    </x:row>
    <x:row r="63">
      <x:c r="A63" t="inlineStr">
        <x:is>
          <x:t xml:space="preserve">NVIDIA Tesla V100 SXM2 32 GB</x:t>
        </x:is>
      </x:c>
      <x:c r="B63" t="inlineStr">
        <x:is>
          <x:t xml:space="preserve">Volta</x:t>
        </x:is>
      </x:c>
      <x:c r="C63" t="inlineStr">
        <x:is>
          <x:t xml:space="preserve">Tesla</x:t>
        </x:is>
      </x:c>
    </x:row>
    <x:row r="64">
      <x:c r="A64" t="inlineStr">
        <x:is>
          <x:t xml:space="preserve">NVIDIA GeForce RTX 4080</x:t>
        </x:is>
      </x:c>
      <x:c r="B64" t="inlineStr">
        <x:is>
          <x:t xml:space="preserve">Ada Lovelace</x:t>
        </x:is>
      </x:c>
      <x:c r="C64" t="inlineStr">
        <x:is>
          <x:t xml:space="preserve">GeForce RTX</x:t>
        </x:is>
      </x:c>
    </x:row>
    <x:row r="65">
      <x:c r="A65" t="inlineStr">
        <x:is>
          <x:t xml:space="preserve">Google TPU v3</x:t>
        </x:is>
      </x:c>
      <x:c r="B65" t="inlineStr">
        <x:is>
          <x:t xml:space="preserve">TPU v3</x:t>
        </x:is>
      </x:c>
      <x:c r="C65" t="inlineStr">
        <x:is>
          <x:t xml:space="preserve">TPU</x:t>
        </x:is>
      </x:c>
    </x:row>
    <x:row r="66">
      <x:c r="A66" t="inlineStr">
        <x:is>
          <x:t xml:space="preserve">NVIDIA A30</x:t>
        </x:is>
      </x:c>
      <x:c r="B66" t="inlineStr">
        <x:is>
          <x:t xml:space="preserve">Ampere</x:t>
        </x:is>
      </x:c>
      <x:c r="C66" t="inlineStr">
        <x:is>
          <x:t xml:space="preserve">Datacenter A-series</x:t>
        </x:is>
      </x:c>
    </x:row>
    <x:row r="67">
      <x:c r="A67" t="inlineStr">
        <x:is>
          <x:t xml:space="preserve">MT-3000</x:t>
        </x:is>
      </x:c>
      <x:c r="B67" t="inlineStr">
        <x:is>
          <x:t xml:space="preserve">MT-3000</x:t>
        </x:is>
      </x:c>
      <x:c r="C67" t="inlineStr">
        <x:is>
          <x:t xml:space="preserve">MT</x:t>
        </x:is>
      </x:c>
    </x:row>
    <x:row r="68">
      <x:c r="A68" t="inlineStr">
        <x:is>
          <x:t xml:space="preserve">Meta MTIA v2 (MTIA 200)</x:t>
        </x:is>
      </x:c>
      <x:c r="B68" t="inlineStr">
        <x:is>
          <x:t xml:space="preserve">MTIA v2</x:t>
        </x:is>
      </x:c>
      <x:c r="C68" t="inlineStr">
        <x:is>
          <x:t xml:space="preserve">MTIA</x:t>
        </x:is>
      </x:c>
    </x:row>
    <x:row r="69">
      <x:c r="A69" t="inlineStr">
        <x:is>
          <x:t xml:space="preserve">NVIDIA GeForce RTX 3090 Ti</x:t>
        </x:is>
      </x:c>
      <x:c r="B69" t="inlineStr">
        <x:is>
          <x:t xml:space="preserve">Ampere</x:t>
        </x:is>
      </x:c>
      <x:c r="C69" t="inlineStr">
        <x:is>
          <x:t xml:space="preserve">GeForce RTX</x:t>
        </x:is>
      </x:c>
    </x:row>
    <x:row r="70">
      <x:c r="A70" t="inlineStr">
        <x:is>
          <x:t xml:space="preserve">Shensuan-1</x:t>
        </x:is>
      </x:c>
      <x:c r="B70" t="inlineStr">
        <x:is>
          <x:t xml:space="preserve">1</x:t>
        </x:is>
      </x:c>
      <x:c r="C70" t="inlineStr">
        <x:is>
          <x:t xml:space="preserve">Shensuan</x:t>
        </x:is>
      </x:c>
    </x:row>
    <x:row r="71">
      <x:c r="A71" t="inlineStr">
        <x:is>
          <x:t xml:space="preserve">NVIDIA Tesla V100S PCIe 32 GB</x:t>
        </x:is>
      </x:c>
      <x:c r="B71" t="inlineStr">
        <x:is>
          <x:t xml:space="preserve">Volta</x:t>
        </x:is>
      </x:c>
      <x:c r="C71" t="inlineStr">
        <x:is>
          <x:t xml:space="preserve">Tesla</x:t>
        </x:is>
      </x:c>
    </x:row>
    <x:row r="72">
      <x:c r="A72" t="inlineStr">
        <x:is>
          <x:t xml:space="preserve">Google TPU v4</x:t>
        </x:is>
      </x:c>
      <x:c r="B72" t="inlineStr">
        <x:is>
          <x:t xml:space="preserve">TPU v4</x:t>
        </x:is>
      </x:c>
      <x:c r="C72" t="inlineStr">
        <x:is>
          <x:t xml:space="preserve">TPU</x:t>
        </x:is>
      </x:c>
    </x:row>
    <x:row r="73">
      <x:c r="A73" t="inlineStr">
        <x:is>
          <x:t xml:space="preserve">Huawei Ascend 910B</x:t>
        </x:is>
      </x:c>
      <x:c r="B73" t="inlineStr">
        <x:is>
          <x:t xml:space="preserve">Ascend 910B</x:t>
        </x:is>
      </x:c>
      <x:c r="C73" t="inlineStr">
        <x:is>
          <x:t xml:space="preserve">Ascend</x:t>
        </x:is>
      </x:c>
    </x:row>
    <x:row r="74">
      <x:c r="A74" t="inlineStr">
        <x:is>
          <x:t xml:space="preserve">Cambricon MLU290-M5</x:t>
        </x:is>
      </x:c>
      <x:c r="B74" t="inlineStr">
        <x:is>
          <x:t xml:space="preserve">MLU290</x:t>
        </x:is>
      </x:c>
      <x:c r="C74" t="inlineStr">
        <x:is>
          <x:t xml:space="preserve">MLU</x:t>
        </x:is>
      </x:c>
    </x:row>
    <x:row r="75">
      <x:c r="A75" t="inlineStr">
        <x:is>
          <x:t xml:space="preserve">Huawei Ascend 910B Pro</x:t>
        </x:is>
      </x:c>
      <x:c r="B75" t="inlineStr">
        <x:is>
          <x:t xml:space="preserve">Ascend 910B</x:t>
        </x:is>
      </x:c>
      <x:c r="C75" t="inlineStr">
        <x:is>
          <x:t xml:space="preserve">Ascend</x:t>
        </x:is>
      </x:c>
    </x:row>
    <x:row r="76">
      <x:c r="A76" t="inlineStr">
        <x:is>
          <x:t xml:space="preserve">Intel Data Center GPU Max 1100</x:t>
        </x:is>
      </x:c>
      <x:c r="B76" t="inlineStr">
        <x:is>
          <x:t xml:space="preserve">Ponte Vecchio</x:t>
        </x:is>
      </x:c>
      <x:c r="C76" t="inlineStr">
        <x:is>
          <x:t xml:space="preserve">Data Center GPU Max</x:t>
        </x:is>
      </x:c>
    </x:row>
    <x:row r="77">
      <x:c r="A77" t="inlineStr">
        <x:is>
          <x:t xml:space="preserve">Huawei Ascend 910A</x:t>
        </x:is>
      </x:c>
      <x:c r="B77" t="inlineStr">
        <x:is>
          <x:t xml:space="preserve">Ascend 910A</x:t>
        </x:is>
      </x:c>
      <x:c r="C77" t="inlineStr">
        <x:is>
          <x:t xml:space="preserve">Ascend</x:t>
        </x:is>
      </x:c>
    </x:row>
    <x:row r="78">
      <x:c r="A78" t="inlineStr">
        <x:is>
          <x:t xml:space="preserve">Huawei Ascend 910A Pro</x:t>
        </x:is>
      </x:c>
      <x:c r="B78" t="inlineStr">
        <x:is>
          <x:t xml:space="preserve">Ascend 910A</x:t>
        </x:is>
      </x:c>
      <x:c r="C78" t="inlineStr">
        <x:is>
          <x:t xml:space="preserve">Ascend</x:t>
        </x:is>
      </x:c>
    </x:row>
    <x:row r="79">
      <x:c r="A79" t="inlineStr">
        <x:is>
          <x:t xml:space="preserve">Huawei Ascend 910A Premium</x:t>
        </x:is>
      </x:c>
      <x:c r="B79" t="inlineStr">
        <x:is>
          <x:t xml:space="preserve">Ascend 910A</x:t>
        </x:is>
      </x:c>
      <x:c r="C79" t="inlineStr">
        <x:is>
          <x:t xml:space="preserve">Ascend</x:t>
        </x:is>
      </x:c>
    </x:row>
    <x:row r="80">
      <x:c r="A80" t="inlineStr">
        <x:is>
          <x:t xml:space="preserve">Huawei Ascend 910</x:t>
        </x:is>
      </x:c>
      <x:c r="B80" t="inlineStr">
        <x:is>
          <x:t xml:space="preserve">Ascend 910</x:t>
        </x:is>
      </x:c>
      <x:c r="C80" t="inlineStr">
        <x:is>
          <x:t xml:space="preserve">Ascend</x:t>
        </x:is>
      </x:c>
    </x:row>
    <x:row r="81">
      <x:c r="A81" t="inlineStr">
        <x:is>
          <x:t xml:space="preserve">Huawei Ascend 910 (320 TFLOPS)</x:t>
        </x:is>
      </x:c>
      <x:c r="B81" t="inlineStr">
        <x:is>
          <x:t xml:space="preserve">Ascend 910</x:t>
        </x:is>
      </x:c>
      <x:c r="C81" t="inlineStr">
        <x:is>
          <x:t xml:space="preserve">Ascend</x:t>
        </x:is>
      </x:c>
    </x:row>
    <x:row r="82">
      <x:c r="A82" t="inlineStr">
        <x:is>
          <x:t xml:space="preserve">NVIDIA A800 PCIe 40 GB</x:t>
        </x:is>
      </x:c>
      <x:c r="B82" t="inlineStr">
        <x:is>
          <x:t xml:space="preserve">Ampere</x:t>
        </x:is>
      </x:c>
      <x:c r="C82" t="inlineStr">
        <x:is>
          <x:t xml:space="preserve">Datacenter A-series</x:t>
        </x:is>
      </x:c>
    </x:row>
    <x:row r="83">
      <x:c r="A83" t="inlineStr">
        <x:is>
          <x:t xml:space="preserve">NVIDIA A100 SXM4 40 GB</x:t>
        </x:is>
      </x:c>
      <x:c r="B83" t="inlineStr">
        <x:is>
          <x:t xml:space="preserve">Ampere</x:t>
        </x:is>
      </x:c>
      <x:c r="C83" t="inlineStr">
        <x:is>
          <x:t xml:space="preserve">Datacenter A-series</x:t>
        </x:is>
      </x:c>
    </x:row>
    <x:row r="84">
      <x:c r="A84" t="inlineStr">
        <x:is>
          <x:t xml:space="preserve">NVIDIA A100</x:t>
        </x:is>
      </x:c>
      <x:c r="B84" t="inlineStr">
        <x:is>
          <x:t xml:space="preserve">Ampere</x:t>
        </x:is>
      </x:c>
      <x:c r="C84" t="inlineStr">
        <x:is>
          <x:t xml:space="preserve">Datacenter A-series</x:t>
        </x:is>
      </x:c>
    </x:row>
    <x:row r="85">
      <x:c r="A85" t="inlineStr">
        <x:is>
          <x:t xml:space="preserve">NVIDIA RTX A4000</x:t>
        </x:is>
      </x:c>
      <x:c r="B85" t="inlineStr">
        <x:is>
          <x:t xml:space="preserve">Ampere</x:t>
        </x:is>
      </x:c>
      <x:c r="C85" t="inlineStr">
        <x:is>
          <x:t xml:space="preserve">RTX Workstation</x:t>
        </x:is>
      </x:c>
    </x:row>
    <x:row r="86">
      <x:c r="A86" t="inlineStr">
        <x:is>
          <x:t xml:space="preserve">NVIDIA RTX A5000</x:t>
        </x:is>
      </x:c>
      <x:c r="B86" t="inlineStr">
        <x:is>
          <x:t xml:space="preserve">Ampere</x:t>
        </x:is>
      </x:c>
      <x:c r="C86" t="inlineStr">
        <x:is>
          <x:t xml:space="preserve">RTX Workstation</x:t>
        </x:is>
      </x:c>
    </x:row>
    <x:row r="87">
      <x:c r="A87" t="inlineStr">
        <x:is>
          <x:t xml:space="preserve">Huawei Ascend 910B1 (v1)</x:t>
        </x:is>
      </x:c>
      <x:c r="B87" t="inlineStr">
        <x:is>
          <x:t xml:space="preserve">Ascend 910B</x:t>
        </x:is>
      </x:c>
      <x:c r="C87" t="inlineStr">
        <x:is>
          <x:t xml:space="preserve">Ascend</x:t>
        </x:is>
      </x:c>
    </x:row>
    <x:row r="88">
      <x:c r="A88" t="inlineStr">
        <x:is>
          <x:t xml:space="preserve">Huawei Ascend 910B1 (v2)</x:t>
        </x:is>
      </x:c>
      <x:c r="B88" t="inlineStr">
        <x:is>
          <x:t xml:space="preserve">Ascend 910B</x:t>
        </x:is>
      </x:c>
      <x:c r="C88" t="inlineStr">
        <x:is>
          <x:t xml:space="preserve">Ascend</x:t>
        </x:is>
      </x:c>
    </x:row>
    <x:row r="89">
      <x:c r="A89" t="inlineStr">
        <x:is>
          <x:t xml:space="preserve">Huawei Ascend 910B2</x:t>
        </x:is>
      </x:c>
      <x:c r="B89" t="inlineStr">
        <x:is>
          <x:t xml:space="preserve">Ascend 910B</x:t>
        </x:is>
      </x:c>
      <x:c r="C89" t="inlineStr">
        <x:is>
          <x:t xml:space="preserve">Ascend</x:t>
        </x:is>
      </x:c>
    </x:row>
    <x:row r="90">
      <x:c r="A90" t="inlineStr">
        <x:is>
          <x:t xml:space="preserve">Huawei Ascend 910B3</x:t>
        </x:is>
      </x:c>
      <x:c r="B90" t="inlineStr">
        <x:is>
          <x:t xml:space="preserve">Ascend 910B</x:t>
        </x:is>
      </x:c>
      <x:c r="C90" t="inlineStr">
        <x:is>
          <x:t xml:space="preserve">Ascend</x:t>
        </x:is>
      </x:c>
    </x:row>
    <x:row r="91">
      <x:c r="A91" t="inlineStr">
        <x:is>
          <x:t xml:space="preserve">NVIDIA RTX A6000</x:t>
        </x:is>
      </x:c>
      <x:c r="B91" t="inlineStr">
        <x:is>
          <x:t xml:space="preserve">Ampere</x:t>
        </x:is>
      </x:c>
      <x:c r="C91" t="inlineStr">
        <x:is>
          <x:t xml:space="preserve">RTX Workstation</x:t>
        </x:is>
      </x:c>
    </x:row>
    <x:row r="92">
      <x:c r="A92" t="inlineStr">
        <x:is>
          <x:t xml:space="preserve">Google TPU v6e Trillium</x:t>
        </x:is>
      </x:c>
      <x:c r="B92" t="inlineStr">
        <x:is>
          <x:t xml:space="preserve">TPU v6e</x:t>
        </x:is>
      </x:c>
      <x:c r="C92" t="inlineStr">
        <x:is>
          <x:t xml:space="preserve">TPU</x:t>
        </x:is>
      </x:c>
    </x:row>
    <x:row r="93">
      <x:c r="A93" t="inlineStr">
        <x:is>
          <x:t xml:space="preserve">NVIDIA GeForce RTX 3080</x:t>
        </x:is>
      </x:c>
      <x:c r="B93" t="inlineStr">
        <x:is>
          <x:t xml:space="preserve">Ampere</x:t>
        </x:is>
      </x:c>
      <x:c r="C93" t="inlineStr">
        <x:is>
          <x:t xml:space="preserve">GeForce RTX</x:t>
        </x:is>
      </x:c>
    </x:row>
    <x:row r="94">
      <x:c r="A94" t="inlineStr">
        <x:is>
          <x:t xml:space="preserve">NVIDIA GeForce RTX 3090</x:t>
        </x:is>
      </x:c>
      <x:c r="B94" t="inlineStr">
        <x:is>
          <x:t xml:space="preserve">Ampere</x:t>
        </x:is>
      </x:c>
      <x:c r="C94" t="inlineStr">
        <x:is>
          <x:t xml:space="preserve">GeForce RTX</x:t>
        </x:is>
      </x:c>
    </x:row>
    <x:row r="95">
      <x:c r="A95" t="inlineStr">
        <x:is>
          <x:t xml:space="preserve">Biren BR100</x:t>
        </x:is>
      </x:c>
      <x:c r="B95" t="inlineStr">
        <x:is>
          <x:t xml:space="preserve">BR100</x:t>
        </x:is>
      </x:c>
      <x:c r="C95" t="inlineStr">
        <x:is>
          <x:t xml:space="preserve">BR</x:t>
        </x:is>
      </x:c>
    </x:row>
    <x:row r="96">
      <x:c r="A96" t="inlineStr">
        <x:is>
          <x:t xml:space="preserve">NVIDIA A800 PCIe 80 GB</x:t>
        </x:is>
      </x:c>
      <x:c r="B96" t="inlineStr">
        <x:is>
          <x:t xml:space="preserve">Ampere</x:t>
        </x:is>
      </x:c>
      <x:c r="C96" t="inlineStr">
        <x:is>
          <x:t xml:space="preserve">Datacenter A-series</x:t>
        </x:is>
      </x:c>
    </x:row>
    <x:row r="97">
      <x:c r="A97" t="inlineStr">
        <x:is>
          <x:t xml:space="preserve">NVIDIA A100 PCIe 80GB</x:t>
        </x:is>
      </x:c>
      <x:c r="B97" t="inlineStr">
        <x:is>
          <x:t xml:space="preserve">Ampere</x:t>
        </x:is>
      </x:c>
      <x:c r="C97" t="inlineStr">
        <x:is>
          <x:t xml:space="preserve">Datacenter A-series</x:t>
        </x:is>
      </x:c>
    </x:row>
    <x:row r="98">
      <x:c r="A98" t="inlineStr">
        <x:is>
          <x:t xml:space="preserve">NVIDIA A100 PCIe</x:t>
        </x:is>
      </x:c>
      <x:c r="B98" t="inlineStr">
        <x:is>
          <x:t xml:space="preserve">Ampere</x:t>
        </x:is>
      </x:c>
      <x:c r="C98" t="inlineStr">
        <x:is>
          <x:t xml:space="preserve">Datacenter A-series</x:t>
        </x:is>
      </x:c>
    </x:row>
    <x:row r="99">
      <x:c r="A99" t="inlineStr">
        <x:is>
          <x:t xml:space="preserve">NVIDIA A100 SXM4 80 GB</x:t>
        </x:is>
      </x:c>
      <x:c r="B99" t="inlineStr">
        <x:is>
          <x:t xml:space="preserve">Ampere</x:t>
        </x:is>
      </x:c>
      <x:c r="C99" t="inlineStr">
        <x:is>
          <x:t xml:space="preserve">Datacenter A-series</x:t>
        </x:is>
      </x:c>
    </x:row>
    <x:row r="100">
      <x:c r="A100" t="inlineStr">
        <x:is>
          <x:t xml:space="preserve">NVIDIA A800 SXM</x:t>
        </x:is>
      </x:c>
      <x:c r="B100" t="inlineStr">
        <x:is>
          <x:t xml:space="preserve">Ampere</x:t>
        </x:is>
      </x:c>
      <x:c r="C100" t="inlineStr">
        <x:is>
          <x:t xml:space="preserve">Datacenter A-series</x:t>
        </x:is>
      </x:c>
    </x:row>
    <x:row r="101">
      <x:c r="A101" t="inlineStr">
        <x:is>
          <x:t xml:space="preserve">NVIDIA H100 PCIe</x:t>
        </x:is>
      </x:c>
      <x:c r="B101" t="inlineStr">
        <x:is>
          <x:t xml:space="preserve">Hopper</x:t>
        </x:is>
      </x:c>
      <x:c r="C101" t="inlineStr">
        <x:is>
          <x:t xml:space="preserve">Datacenter H-series</x:t>
        </x:is>
      </x:c>
    </x:row>
    <x:row r="102">
      <x:c r="A102" t="inlineStr">
        <x:is>
          <x:t xml:space="preserve">Intel Habana Gaudi2</x:t>
        </x:is>
      </x:c>
      <x:c r="B102" t="inlineStr">
        <x:is>
          <x:t xml:space="preserve">Gaudi 2</x:t>
        </x:is>
      </x:c>
      <x:c r="C102" t="inlineStr">
        <x:is>
          <x:t xml:space="preserve">Habana Gaudi</x:t>
        </x:is>
      </x:c>
    </x:row>
    <x:row r="103">
      <x:c r="A103" t="inlineStr">
        <x:is>
          <x:t xml:space="preserve">Intel Data Center GPU Max 1350</x:t>
        </x:is>
      </x:c>
      <x:c r="B103" t="inlineStr">
        <x:is>
          <x:t xml:space="preserve">Ponte Vecchio</x:t>
        </x:is>
      </x:c>
      <x:c r="C103" t="inlineStr">
        <x:is>
          <x:t xml:space="preserve">Data Center GPU Max</x:t>
        </x:is>
      </x:c>
    </x:row>
    <x:row r="104">
      <x:c r="A104" t="inlineStr">
        <x:is>
          <x:t xml:space="preserve">Google TPU v5p</x:t>
        </x:is>
      </x:c>
      <x:c r="B104" t="inlineStr">
        <x:is>
          <x:t xml:space="preserve">TPU v5p</x:t>
        </x:is>
      </x:c>
      <x:c r="C104" t="inlineStr">
        <x:is>
          <x:t xml:space="preserve">TPU</x:t>
        </x:is>
      </x:c>
    </x:row>
    <x:row r="105">
      <x:c r="A105" t="inlineStr">
        <x:is>
          <x:t xml:space="preserve">Amazon Trainium2</x:t>
        </x:is>
      </x:c>
      <x:c r="B105" t="inlineStr">
        <x:is>
          <x:t xml:space="preserve">Trainium2</x:t>
        </x:is>
      </x:c>
      <x:c r="C105" t="inlineStr">
        <x:is>
          <x:t xml:space="preserve">Trainium</x:t>
        </x:is>
      </x:c>
    </x:row>
    <x:row r="106">
      <x:c r="A106" t="inlineStr">
        <x:is>
          <x:t xml:space="preserve">NVIDIA GH100</x:t>
        </x:is>
      </x:c>
      <x:c r="B106" t="inlineStr">
        <x:is>
          <x:t xml:space="preserve">Hopper</x:t>
        </x:is>
      </x:c>
      <x:c r="C106" t="inlineStr">
        <x:is>
          <x:t xml:space="preserve">Datacenter H-series</x:t>
        </x:is>
      </x:c>
    </x:row>
    <x:row r="107">
      <x:c r="A107" t="inlineStr">
        <x:is>
          <x:t xml:space="preserve">Huawei Ascend 910C</x:t>
        </x:is>
      </x:c>
      <x:c r="B107" t="inlineStr">
        <x:is>
          <x:t xml:space="preserve">Ascend 910C</x:t>
        </x:is>
      </x:c>
      <x:c r="C107" t="inlineStr">
        <x:is>
          <x:t xml:space="preserve">Ascend</x:t>
        </x:is>
      </x:c>
    </x:row>
    <x:row r="108">
      <x:c r="A108" t="inlineStr">
        <x:is>
          <x:t xml:space="preserve">AMD Radeon Instinct MI250X</x:t>
        </x:is>
      </x:c>
      <x:c r="B108" t="inlineStr">
        <x:is>
          <x:t xml:space="preserve">CDNA 2</x:t>
        </x:is>
      </x:c>
      <x:c r="C108" t="inlineStr">
        <x:is>
          <x:t xml:space="preserve">Instinct MI200</x:t>
        </x:is>
      </x:c>
    </x:row>
    <x:row r="109">
      <x:c r="A109" t="inlineStr">
        <x:is>
          <x:t xml:space="preserve">Intel Data Center GPU Max 1550</x:t>
        </x:is>
      </x:c>
      <x:c r="B109" t="inlineStr">
        <x:is>
          <x:t xml:space="preserve">Ponte Vecchio</x:t>
        </x:is>
      </x:c>
      <x:c r="C109" t="inlineStr">
        <x:is>
          <x:t xml:space="preserve">Data Center GPU Max</x:t>
        </x:is>
      </x:c>
    </x:row>
    <x:row r="110">
      <x:c r="A110" t="inlineStr">
        <x:is>
          <x:t xml:space="preserve">NVIDIA H100 SXM5 80GB</x:t>
        </x:is>
      </x:c>
      <x:c r="B110" t="inlineStr">
        <x:is>
          <x:t xml:space="preserve">Hopper</x:t>
        </x:is>
      </x:c>
      <x:c r="C110" t="inlineStr">
        <x:is>
          <x:t xml:space="preserve">Datacenter H-series</x:t>
        </x:is>
      </x:c>
    </x:row>
    <x:row r="111">
      <x:c r="A111" t="inlineStr">
        <x:is>
          <x:t xml:space="preserve">NVIDIA H800 SXM5</x:t>
        </x:is>
      </x:c>
      <x:c r="B111" t="inlineStr">
        <x:is>
          <x:t xml:space="preserve">Hopper</x:t>
        </x:is>
      </x:c>
      <x:c r="C111" t="inlineStr">
        <x:is>
          <x:t xml:space="preserve">Datacenter H-series</x:t>
        </x:is>
      </x:c>
    </x:row>
    <x:row r="112">
      <x:c r="A112" t="inlineStr">
        <x:is>
          <x:t xml:space="preserve">NVIDIA Quadro RTX 4000</x:t>
        </x:is>
      </x:c>
      <x:c r="B112" t="inlineStr">
        <x:is>
          <x:t xml:space="preserve">Turing</x:t>
        </x:is>
      </x:c>
      <x:c r="C112" t="inlineStr">
        <x:is>
          <x:t xml:space="preserve">Quadro</x:t>
        </x:is>
      </x:c>
    </x:row>
    <x:row r="113">
      <x:c r="A113" t="inlineStr">
        <x:is>
          <x:t xml:space="preserve">Huawei Ascend 310</x:t>
        </x:is>
      </x:c>
      <x:c r="B113" t="inlineStr">
        <x:is>
          <x:t xml:space="preserve">Ascend 310</x:t>
        </x:is>
      </x:c>
      <x:c r="C113" t="inlineStr">
        <x:is>
          <x:t xml:space="preserve">Ascend</x:t>
        </x:is>
      </x:c>
    </x:row>
    <x:row r="114">
      <x:c r="A114" t="inlineStr">
        <x:is>
          <x:t xml:space="preserve">NVIDIA GeForce RTX 2080 Ti 11GB</x:t>
        </x:is>
      </x:c>
      <x:c r="B114" t="inlineStr">
        <x:is>
          <x:t xml:space="preserve">Turing</x:t>
        </x:is>
      </x:c>
      <x:c r="C114" t="inlineStr">
        <x:is>
          <x:t xml:space="preserve">GeForce RTX</x:t>
        </x:is>
      </x:c>
    </x:row>
    <x:row r="115">
      <x:c r="A115" t="inlineStr">
        <x:is>
          <x:t xml:space="preserve">NVIDIA H800 PCIe</x:t>
        </x:is>
      </x:c>
      <x:c r="B115" t="inlineStr">
        <x:is>
          <x:t xml:space="preserve">Hopper</x:t>
        </x:is>
      </x:c>
      <x:c r="C115" t="inlineStr">
        <x:is>
          <x:t xml:space="preserve">Datacenter H-series</x:t>
        </x:is>
      </x:c>
    </x:row>
    <x:row r="116">
      <x:c r="A116" t="inlineStr">
        <x:is>
          <x:t xml:space="preserve">NVIDIA Quadro RTX 6000</x:t>
        </x:is>
      </x:c>
      <x:c r="B116" t="inlineStr">
        <x:is>
          <x:t xml:space="preserve">Turing</x:t>
        </x:is>
      </x:c>
      <x:c r="C116" t="inlineStr">
        <x:is>
          <x:t xml:space="preserve">Quadro</x:t>
        </x:is>
      </x:c>
    </x:row>
    <x:row r="117">
      <x:c r="A117" t="inlineStr">
        <x:is>
          <x:t xml:space="preserve">NVIDIA Quadro RTX 5000</x:t>
        </x:is>
      </x:c>
      <x:c r="B117" t="inlineStr">
        <x:is>
          <x:t xml:space="preserve">Turing</x:t>
        </x:is>
      </x:c>
      <x:c r="C117" t="inlineStr">
        <x:is>
          <x:t xml:space="preserve">Quadro</x:t>
        </x:is>
      </x:c>
    </x:row>
    <x:row r="118">
      <x:c r="A118" t="inlineStr">
        <x:is>
          <x:t xml:space="preserve">NVIDIA Quadro RTX 8000</x:t>
        </x:is>
      </x:c>
      <x:c r="B118" t="inlineStr">
        <x:is>
          <x:t xml:space="preserve">Turing</x:t>
        </x:is>
      </x:c>
      <x:c r="C118" t="inlineStr">
        <x:is>
          <x:t xml:space="preserve">Quadro</x:t>
        </x:is>
      </x:c>
    </x:row>
    <x:row r="119">
      <x:c r="A119" t="inlineStr">
        <x:is>
          <x:t xml:space="preserve">NVIDIA H800 NVL</x:t>
        </x:is>
      </x:c>
      <x:c r="B119" t="inlineStr">
        <x:is>
          <x:t xml:space="preserve">Hopper</x:t>
        </x:is>
      </x:c>
      <x:c r="C119" t="inlineStr">
        <x:is>
          <x:t xml:space="preserve">Datacenter H-series</x:t>
        </x:is>
      </x:c>
    </x:row>
    <x:row r="120">
      <x:c r="A120" t="inlineStr">
        <x:is>
          <x:t xml:space="preserve">NVIDIA Tesla V100 DGXS 16 GB</x:t>
        </x:is>
      </x:c>
      <x:c r="B120" t="inlineStr">
        <x:is>
          <x:t xml:space="preserve">Volta</x:t>
        </x:is>
      </x:c>
      <x:c r="C120" t="inlineStr">
        <x:is>
          <x:t xml:space="preserve">Tesla</x:t>
        </x:is>
      </x:c>
    </x:row>
    <x:row r="121">
      <x:c r="A121" t="inlineStr">
        <x:is>
          <x:t xml:space="preserve">Intel Habana Gaudi3</x:t>
        </x:is>
      </x:c>
      <x:c r="B121" t="inlineStr">
        <x:is>
          <x:t xml:space="preserve">Gaudi 3</x:t>
        </x:is>
      </x:c>
      <x:c r="C121" t="inlineStr">
        <x:is>
          <x:t xml:space="preserve">Habana Gaudi</x:t>
        </x:is>
      </x:c>
    </x:row>
    <x:row r="122">
      <x:c r="A122" t="inlineStr">
        <x:is>
          <x:t xml:space="preserve">NVIDIA Tesla V100 DGXS 32 GB</x:t>
        </x:is>
      </x:c>
      <x:c r="B122" t="inlineStr">
        <x:is>
          <x:t xml:space="preserve">Volta</x:t>
        </x:is>
      </x:c>
      <x:c r="C122" t="inlineStr">
        <x:is>
          <x:t xml:space="preserve">Tesla</x:t>
        </x:is>
      </x:c>
    </x:row>
    <x:row r="123">
      <x:c r="A123" t="inlineStr">
        <x:is>
          <x:t xml:space="preserve">NVIDIA H100 NVL</x:t>
        </x:is>
      </x:c>
      <x:c r="B123" t="inlineStr">
        <x:is>
          <x:t xml:space="preserve">Hopper</x:t>
        </x:is>
      </x:c>
      <x:c r="C123" t="inlineStr">
        <x:is>
          <x:t xml:space="preserve">Datacenter H-series</x:t>
        </x:is>
      </x:c>
    </x:row>
    <x:row r="124">
      <x:c r="A124" t="inlineStr">
        <x:is>
          <x:t xml:space="preserve">Huawei Ascend 920</x:t>
        </x:is>
      </x:c>
      <x:c r="B124" t="inlineStr">
        <x:is>
          <x:t xml:space="preserve">Ascend 920</x:t>
        </x:is>
      </x:c>
      <x:c r="C124" t="inlineStr">
        <x:is>
          <x:t xml:space="preserve">Ascend</x:t>
        </x:is>
      </x:c>
    </x:row>
    <x:row r="125">
      <x:c r="A125" t="inlineStr">
        <x:is>
          <x:t xml:space="preserve">NVIDIA Titan V</x:t>
        </x:is>
      </x:c>
      <x:c r="B125" t="inlineStr">
        <x:is>
          <x:t xml:space="preserve">Volta</x:t>
        </x:is>
      </x:c>
      <x:c r="C125" t="inlineStr">
        <x:is>
          <x:t xml:space="preserve">TITAN</x:t>
        </x:is>
      </x:c>
    </x:row>
    <x:row r="126">
      <x:c r="A126" t="inlineStr">
        <x:is>
          <x:t xml:space="preserve">NVIDIA HGX H20</x:t>
        </x:is>
      </x:c>
      <x:c r="B126" t="inlineStr">
        <x:is>
          <x:t xml:space="preserve">Hopper</x:t>
        </x:is>
      </x:c>
      <x:c r="C126" t="inlineStr">
        <x:is>
          <x:t xml:space="preserve">HGX</x:t>
        </x:is>
      </x:c>
    </x:row>
    <x:row r="127">
      <x:c r="A127" t="inlineStr">
        <x:is>
          <x:t xml:space="preserve">Huawei Ascend 950DT</x:t>
        </x:is>
      </x:c>
      <x:c r="B127" t="inlineStr">
        <x:is>
          <x:t xml:space="preserve">Ascend 950DT</x:t>
        </x:is>
      </x:c>
      <x:c r="C127" t="inlineStr">
        <x:is>
          <x:t xml:space="preserve">Ascend</x:t>
        </x:is>
      </x:c>
    </x:row>
    <x:row r="128">
      <x:c r="A128" t="inlineStr">
        <x:is>
          <x:t xml:space="preserve">NVIDIA H200 SXM</x:t>
        </x:is>
      </x:c>
      <x:c r="B128" t="inlineStr">
        <x:is>
          <x:t xml:space="preserve">Hopper</x:t>
        </x:is>
      </x:c>
      <x:c r="C128" t="inlineStr">
        <x:is>
          <x:t xml:space="preserve">Datacenter H-series</x:t>
        </x:is>
      </x:c>
    </x:row>
    <x:row r="129">
      <x:c r="A129" t="inlineStr">
        <x:is>
          <x:t xml:space="preserve">NVIDIA TITAN Xp</x:t>
        </x:is>
      </x:c>
      <x:c r="B129" t="inlineStr">
        <x:is>
          <x:t xml:space="preserve">Pascal</x:t>
        </x:is>
      </x:c>
      <x:c r="C129" t="inlineStr">
        <x:is>
          <x:t xml:space="preserve">TITAN</x:t>
        </x:is>
      </x:c>
    </x:row>
    <x:row r="130">
      <x:c r="A130" t="inlineStr">
        <x:is>
          <x:t xml:space="preserve">NVIDIA GeForce GTX 1080 Ti</x:t>
        </x:is>
      </x:c>
      <x:c r="B130" t="inlineStr">
        <x:is>
          <x:t xml:space="preserve">Pascal</x:t>
        </x:is>
      </x:c>
      <x:c r="C130" t="inlineStr">
        <x:is>
          <x:t xml:space="preserve">GeForce GTX</x:t>
        </x:is>
      </x:c>
    </x:row>
    <x:row r="131">
      <x:c r="A131" t="inlineStr">
        <x:is>
          <x:t xml:space="preserve">NVIDIA Quadro P600</x:t>
        </x:is>
      </x:c>
      <x:c r="B131" t="inlineStr">
        <x:is>
          <x:t xml:space="preserve">Pascal</x:t>
        </x:is>
      </x:c>
      <x:c r="C131" t="inlineStr">
        <x:is>
          <x:t xml:space="preserve">Quadro</x:t>
        </x:is>
      </x:c>
    </x:row>
    <x:row r="132">
      <x:c r="A132" t="inlineStr">
        <x:is>
          <x:t xml:space="preserve">NVIDIA Quadro P4000</x:t>
        </x:is>
      </x:c>
      <x:c r="B132" t="inlineStr">
        <x:is>
          <x:t xml:space="preserve">Pascal</x:t>
        </x:is>
      </x:c>
      <x:c r="C132" t="inlineStr">
        <x:is>
          <x:t xml:space="preserve">Quadro</x:t>
        </x:is>
      </x:c>
    </x:row>
    <x:row r="133">
      <x:c r="A133" t="inlineStr">
        <x:is>
          <x:t xml:space="preserve">MT-2000</x:t>
        </x:is>
      </x:c>
      <x:c r="B133" t="inlineStr">
        <x:is>
          <x:t xml:space="preserve">MT-2000</x:t>
        </x:is>
      </x:c>
      <x:c r="C133" t="inlineStr">
        <x:is>
          <x:t xml:space="preserve">MT</x:t>
        </x:is>
      </x:c>
    </x:row>
    <x:row r="134">
      <x:c r="A134" t="inlineStr">
        <x:is>
          <x:t xml:space="preserve">NVIDIA Quadro P5000</x:t>
        </x:is>
      </x:c>
      <x:c r="B134" t="inlineStr">
        <x:is>
          <x:t xml:space="preserve">Pascal</x:t>
        </x:is>
      </x:c>
      <x:c r="C134" t="inlineStr">
        <x:is>
          <x:t xml:space="preserve">Quadro</x:t>
        </x:is>
      </x:c>
    </x:row>
    <x:row r="135">
      <x:c r="A135" t="inlineStr">
        <x:is>
          <x:t xml:space="preserve">NVIDIA Quadro P6000</x:t>
        </x:is>
      </x:c>
      <x:c r="B135" t="inlineStr">
        <x:is>
          <x:t xml:space="preserve">Pascal</x:t>
        </x:is>
      </x:c>
      <x:c r="C135" t="inlineStr">
        <x:is>
          <x:t xml:space="preserve">Quadro</x:t>
        </x:is>
      </x:c>
    </x:row>
    <x:row r="136">
      <x:c r="A136" t="inlineStr">
        <x:is>
          <x:t xml:space="preserve">NVIDIA H200 PCIe</x:t>
        </x:is>
      </x:c>
      <x:c r="B136" t="inlineStr">
        <x:is>
          <x:t xml:space="preserve">Hopper</x:t>
        </x:is>
      </x:c>
      <x:c r="C136" t="inlineStr">
        <x:is>
          <x:t xml:space="preserve">Datacenter H-series</x:t>
        </x:is>
      </x:c>
    </x:row>
    <x:row r="137">
      <x:c r="A137" t="inlineStr">
        <x:is>
          <x:t xml:space="preserve">AMD Instinct MI300A</x:t>
        </x:is>
      </x:c>
      <x:c r="B137" t="inlineStr">
        <x:is>
          <x:t xml:space="preserve">CDNA 3</x:t>
        </x:is>
      </x:c>
      <x:c r="C137" t="inlineStr">
        <x:is>
          <x:t xml:space="preserve">Instinct MI300</x:t>
        </x:is>
      </x:c>
    </x:row>
    <x:row r="138">
      <x:c r="A138" t="inlineStr">
        <x:is>
          <x:t xml:space="preserve">AMD Instinct MI300X</x:t>
        </x:is>
      </x:c>
      <x:c r="B138" t="inlineStr">
        <x:is>
          <x:t xml:space="preserve">CDNA 3</x:t>
        </x:is>
      </x:c>
      <x:c r="C138" t="inlineStr">
        <x:is>
          <x:t xml:space="preserve">Instinct MI300</x:t>
        </x:is>
      </x:c>
    </x:row>
    <x:row r="139">
      <x:c r="A139" t="inlineStr">
        <x:is>
          <x:t xml:space="preserve">AMD Instinct MI325X</x:t>
        </x:is>
      </x:c>
      <x:c r="B139" t="inlineStr">
        <x:is>
          <x:t xml:space="preserve">CDNA 3</x:t>
        </x:is>
      </x:c>
      <x:c r="C139" t="inlineStr">
        <x:is>
          <x:t xml:space="preserve">Instinct MI300</x:t>
        </x:is>
      </x:c>
    </x:row>
    <x:row r="140">
      <x:c r="A140" t="inlineStr">
        <x:is>
          <x:t xml:space="preserve">Meta MTIA 300</x:t>
        </x:is>
      </x:c>
      <x:c r="B140" t="inlineStr">
        <x:is>
          <x:t xml:space="preserve">MTIA 300</x:t>
        </x:is>
      </x:c>
      <x:c r="C140" t="inlineStr">
        <x:is>
          <x:t xml:space="preserve">MTIA</x:t>
        </x:is>
      </x:c>
    </x:row>
    <x:row r="141">
      <x:c r="A141" t="inlineStr">
        <x:is>
          <x:t xml:space="preserve">NVIDIA GeForce GTX 1080</x:t>
        </x:is>
      </x:c>
      <x:c r="B141" t="inlineStr">
        <x:is>
          <x:t xml:space="preserve">Pascal</x:t>
        </x:is>
      </x:c>
      <x:c r="C141" t="inlineStr">
        <x:is>
          <x:t xml:space="preserve">GeForce GTX</x:t>
        </x:is>
      </x:c>
    </x:row>
    <x:row r="142">
      <x:c r="A142" t="inlineStr">
        <x:is>
          <x:t xml:space="preserve">AMD Radeon Instinct MI300</x:t>
        </x:is>
      </x:c>
      <x:c r="B142" t="inlineStr">
        <x:is>
          <x:t xml:space="preserve">CDNA 3</x:t>
        </x:is>
      </x:c>
      <x:c r="C142" t="inlineStr">
        <x:is>
          <x:t xml:space="preserve">Instinct MI300</x:t>
        </x:is>
      </x:c>
    </x:row>
    <x:row r="143">
      <x:c r="A143" t="inlineStr">
        <x:is>
          <x:t xml:space="preserve">Google TPU v7 Ironwood</x:t>
        </x:is>
      </x:c>
      <x:c r="B143" t="inlineStr">
        <x:is>
          <x:t xml:space="preserve">TPU v7</x:t>
        </x:is>
      </x:c>
      <x:c r="C143" t="inlineStr">
        <x:is>
          <x:t xml:space="preserve">TPU</x:t>
        </x:is>
      </x:c>
    </x:row>
    <x:row r="144">
      <x:c r="A144" t="inlineStr">
        <x:is>
          <x:t xml:space="preserve">NVIDIA Tesla P100 DGXS</x:t>
        </x:is>
      </x:c>
      <x:c r="B144" t="inlineStr">
        <x:is>
          <x:t xml:space="preserve">Pascal</x:t>
        </x:is>
      </x:c>
      <x:c r="C144" t="inlineStr">
        <x:is>
          <x:t xml:space="preserve">Tesla</x:t>
        </x:is>
      </x:c>
    </x:row>
    <x:row r="145">
      <x:c r="A145" t="inlineStr">
        <x:is>
          <x:t xml:space="preserve">NVIDIA B300 (Blackwell Ultra)</x:t>
        </x:is>
      </x:c>
      <x:c r="B145" t="inlineStr">
        <x:is>
          <x:t xml:space="preserve">Blackwell Ultra</x:t>
        </x:is>
      </x:c>
      <x:c r="C145" t="inlineStr">
        <x:is>
          <x:t xml:space="preserve">Datacenter B-series</x:t>
        </x:is>
      </x:c>
    </x:row>
    <x:row r="146">
      <x:c r="A146" t="inlineStr">
        <x:is>
          <x:t xml:space="preserve">NVIDIA B200</x:t>
        </x:is>
      </x:c>
      <x:c r="B146" t="inlineStr">
        <x:is>
          <x:t xml:space="preserve">Blackwell</x:t>
        </x:is>
      </x:c>
      <x:c r="C146" t="inlineStr">
        <x:is>
          <x:t xml:space="preserve">Datacenter B-series</x:t>
        </x:is>
      </x:c>
    </x:row>
    <x:row r="147">
      <x:c r="A147" t="inlineStr">
        <x:is>
          <x:t xml:space="preserve">NVIDIA Quadro M4000</x:t>
        </x:is>
      </x:c>
      <x:c r="B147" t="inlineStr">
        <x:is>
          <x:t xml:space="preserve">Maxwell</x:t>
        </x:is>
      </x:c>
      <x:c r="C147" t="inlineStr">
        <x:is>
          <x:t xml:space="preserve">Quadro</x:t>
        </x:is>
      </x:c>
    </x:row>
    <x:row r="148">
      <x:c r="A148" t="inlineStr">
        <x:is>
          <x:t xml:space="preserve">AMD Instinct MI355X</x:t>
        </x:is>
      </x:c>
      <x:c r="B148" t="inlineStr">
        <x:is>
          <x:t xml:space="preserve">CDNA 4</x:t>
        </x:is>
      </x:c>
      <x:c r="C148" t="inlineStr">
        <x:is>
          <x:t xml:space="preserve">Instinct MI350</x:t>
        </x:is>
      </x:c>
    </x:row>
    <x:row r="149">
      <x:c r="A149" t="inlineStr">
        <x:is>
          <x:t xml:space="preserve">NVIDIA GeForce GTX TITAN X</x:t>
        </x:is>
      </x:c>
      <x:c r="B149" t="inlineStr">
        <x:is>
          <x:t xml:space="preserve">Maxwell</x:t>
        </x:is>
      </x:c>
      <x:c r="C149" t="inlineStr">
        <x:is>
          <x:t xml:space="preserve">TITAN</x:t>
        </x:is>
      </x:c>
    </x:row>
    <x:row r="150">
      <x:c r="A150" t="inlineStr">
        <x:is>
          <x:t xml:space="preserve">NVIDIA Quadro K1200</x:t>
        </x:is>
      </x:c>
      <x:c r="B150" t="inlineStr">
        <x:is>
          <x:t xml:space="preserve">Kepler</x:t>
        </x:is>
      </x:c>
      <x:c r="C150" t="inlineStr">
        <x:is>
          <x:t xml:space="preserve">Quadro</x:t>
        </x:is>
      </x:c>
    </x:row>
    <x:row r="151">
      <x:c r="A151" t="inlineStr">
        <x:is>
          <x:t xml:space="preserve">NVIDIA B100</x:t>
        </x:is>
      </x:c>
      <x:c r="B151" t="inlineStr">
        <x:is>
          <x:t xml:space="preserve">Blackwell</x:t>
        </x:is>
      </x:c>
      <x:c r="C151" t="inlineStr">
        <x:is>
          <x:t xml:space="preserve">Datacenter B-series</x:t>
        </x:is>
      </x:c>
    </x:row>
    <x:row r="152">
      <x:c r="A152" t="inlineStr">
        <x:is>
          <x:t xml:space="preserve">NVIDIA GeForce GTX 980</x:t>
        </x:is>
      </x:c>
      <x:c r="B152" t="inlineStr">
        <x:is>
          <x:t xml:space="preserve">Maxwell</x:t>
        </x:is>
      </x:c>
      <x:c r="C152" t="inlineStr">
        <x:is>
          <x:t xml:space="preserve">GeForce GTX</x:t>
        </x:is>
      </x:c>
    </x:row>
    <x:row r="153">
      <x:c r="A153" t="inlineStr">
        <x:is>
          <x:t xml:space="preserve">NVIDIA GeForce GTX Titan Black</x:t>
        </x:is>
      </x:c>
      <x:c r="B153" t="inlineStr">
        <x:is>
          <x:t xml:space="preserve">Kepler</x:t>
        </x:is>
      </x:c>
      <x:c r="C153" t="inlineStr">
        <x:is>
          <x:t xml:space="preserve">TITAN</x:t>
        </x:is>
      </x:c>
    </x:row>
    <x:row r="154">
      <x:c r="A154" t="inlineStr">
        <x:is>
          <x:t xml:space="preserve">AMD Instinct MI350X</x:t>
        </x:is>
      </x:c>
      <x:c r="B154" t="inlineStr">
        <x:is>
          <x:t xml:space="preserve">CDNA 4</x:t>
        </x:is>
      </x:c>
      <x:c r="C154" t="inlineStr">
        <x:is>
          <x:t xml:space="preserve">Instinct MI350</x:t>
        </x:is>
      </x:c>
    </x:row>
    <x:row r="155">
      <x:c r="A155" t="inlineStr">
        <x:is>
          <x:t xml:space="preserve">Huawei Ascend 960</x:t>
        </x:is>
      </x:c>
      <x:c r="B155" t="inlineStr">
        <x:is>
          <x:t xml:space="preserve">Ascend 960</x:t>
        </x:is>
      </x:c>
      <x:c r="C155" t="inlineStr">
        <x:is>
          <x:t xml:space="preserve">Ascend</x:t>
        </x:is>
      </x:c>
    </x:row>
    <x:row r="156">
      <x:c r="A156" t="inlineStr">
        <x:is>
          <x:t xml:space="preserve">NVIDIA Quadro K6000</x:t>
        </x:is>
      </x:c>
      <x:c r="B156" t="inlineStr">
        <x:is>
          <x:t xml:space="preserve">Kepler</x:t>
        </x:is>
      </x:c>
      <x:c r="C156" t="inlineStr">
        <x:is>
          <x:t xml:space="preserve">Quadro</x:t>
        </x:is>
      </x:c>
    </x:row>
    <x:row r="157">
      <x:c r="A157" t="inlineStr">
        <x:is>
          <x:t xml:space="preserve">NVIDIA GeForce GTX 780</x:t>
        </x:is>
      </x:c>
      <x:c r="B157" t="inlineStr">
        <x:is>
          <x:t xml:space="preserve">Kepler</x:t>
        </x:is>
      </x:c>
      <x:c r="C157" t="inlineStr">
        <x:is>
          <x:t xml:space="preserve">GeForce GTX</x:t>
        </x:is>
      </x:c>
    </x:row>
    <x:row r="158">
      <x:c r="A158" t="inlineStr">
        <x:is>
          <x:t xml:space="preserve">NVIDIA Quadro K4000</x:t>
        </x:is>
      </x:c>
      <x:c r="B158" t="inlineStr">
        <x:is>
          <x:t xml:space="preserve">Kepler</x:t>
        </x:is>
      </x:c>
      <x:c r="C158" t="inlineStr">
        <x:is>
          <x:t xml:space="preserve">Quadro</x:t>
        </x:is>
      </x:c>
    </x:row>
    <x:row r="159">
      <x:c r="A159" t="inlineStr">
        <x:is>
          <x:t xml:space="preserve">NVIDIA GeForce GTX TITAN</x:t>
        </x:is>
      </x:c>
      <x:c r="B159" t="inlineStr">
        <x:is>
          <x:t xml:space="preserve">Kepler</x:t>
        </x:is>
      </x:c>
      <x:c r="C159" t="inlineStr">
        <x:is>
          <x:t xml:space="preserve">TITAN</x:t>
        </x:is>
      </x:c>
    </x:row>
    <x:row r="160">
      <x:c r="A160" t="inlineStr">
        <x:is>
          <x:t xml:space="preserve">Tesla D1 Dojo</x:t>
        </x:is>
      </x:c>
      <x:c r="B160" t="inlineStr">
        <x:is>
          <x:t xml:space="preserve">D1</x:t>
        </x:is>
      </x:c>
      <x:c r="C160" t="inlineStr">
        <x:is>
          <x:t xml:space="preserve">Dojo</x:t>
        </x:is>
      </x:c>
    </x:row>
    <x:row r="161">
      <x:c r="A161" t="inlineStr">
        <x:is>
          <x:t xml:space="preserve">AMD Radeon Instinct MI308X</x:t>
        </x:is>
      </x:c>
      <x:c r="B161" t="inlineStr">
        <x:is>
          <x:t xml:space="preserve">CDNA 3</x:t>
        </x:is>
      </x:c>
      <x:c r="C161" t="inlineStr">
        <x:is>
          <x:t xml:space="preserve">Instinct MI300</x:t>
        </x:is>
      </x:c>
    </x:row>
    <x:row r="162">
      <x:c r="A162" t="inlineStr">
        <x:is>
          <x:t xml:space="preserve">Huawei Ascend 970</x:t>
        </x:is>
      </x:c>
      <x:c r="B162" t="inlineStr">
        <x:is>
          <x:t xml:space="preserve">Ascend 970</x:t>
        </x:is>
      </x:c>
      <x:c r="C162" t="inlineStr">
        <x:is>
          <x:t xml:space="preserve">Ascend</x:t>
        </x:is>
      </x:c>
    </x:row>
    <x:row r="163">
      <x:c r="A163" t="inlineStr">
        <x:is>
          <x:t xml:space="preserve">NVIDIA GeForce GTX 580</x:t>
        </x:is>
      </x:c>
      <x:c r="B163" t="inlineStr">
        <x:is>
          <x:t xml:space="preserve">Fermi</x:t>
        </x:is>
      </x:c>
      <x:c r="C163" t="inlineStr">
        <x:is>
          <x:t xml:space="preserve">GeForce GTX</x:t>
        </x:is>
      </x:c>
    </x:row>
    <x:row r="164">
      <x:c r="A164" t="inlineStr">
        <x:is>
          <x:t xml:space="preserve">NVIDIA GeForce GTX 280</x:t>
        </x:is>
      </x:c>
      <x:c r="B164" t="inlineStr">
        <x:is>
          <x:t xml:space="preserve">Tesla</x:t>
        </x:is>
      </x:c>
      <x:c r="C164" t="inlineStr">
        <x:is>
          <x:t xml:space="preserve">GeForce GTX</x:t>
        </x:is>
      </x:c>
    </x:row>
    <x:row r="165">
      <x:c r="A165" t="inlineStr">
        <x:is>
          <x:t xml:space="preserve">MetaX MXC500 (PCIe)</x:t>
        </x:is>
      </x:c>
      <x:c r="B165" t="inlineStr">
        <x:is>
          <x:t xml:space="preserve">MXC500</x:t>
        </x:is>
      </x:c>
      <x:c r="C165" t="inlineStr">
        <x:is>
          <x:t xml:space="preserve">MXC</x:t>
        </x:is>
      </x:c>
    </x:row>
    <x:row r="166">
      <x:c r="A166" t="inlineStr">
        <x:is>
          <x:t xml:space="preserve">MetaX MXC500 (OAM)</x:t>
        </x:is>
      </x:c>
      <x:c r="B166" t="inlineStr">
        <x:is>
          <x:t xml:space="preserve">MXC500</x:t>
        </x:is>
      </x:c>
      <x:c r="C166" t="inlineStr">
        <x:is>
          <x:t xml:space="preserve">MXC</x:t>
        </x:is>
      </x:c>
    </x:row>
    <x:row r="167">
      <x:c r="A167" t="inlineStr">
        <x:is>
          <x:t xml:space="preserve">GroqChip LPU v1</x:t>
        </x:is>
      </x:c>
      <x:c r="B167" t="inlineStr">
        <x:is>
          <x:t xml:space="preserve">v1</x:t>
        </x:is>
      </x:c>
      <x:c r="C167" t="inlineStr">
        <x:is>
          <x:t xml:space="preserve">LPU</x:t>
        </x:is>
      </x:c>
    </x:row>
    <x:row r="168">
      <x:c r="A168" t="inlineStr">
        <x:is>
          <x:t xml:space="preserve">NVIDIA Rubin CPX</x:t>
        </x:is>
      </x:c>
      <x:c r="B168" t="inlineStr">
        <x:is>
          <x:t xml:space="preserve">Rubin</x:t>
        </x:is>
      </x:c>
      <x:c r="C168" t="inlineStr">
        <x:is>
          <x:t xml:space="preserve">Rubin</x:t>
        </x:is>
      </x:c>
    </x:row>
    <x:row r="169">
      <x:c r="A169" t="inlineStr">
        <x:is>
          <x:t xml:space="preserve">AMD Instinct MI210</x:t>
        </x:is>
      </x:c>
      <x:c r="B169" t="inlineStr">
        <x:is>
          <x:t xml:space="preserve">CDNA 2</x:t>
        </x:is>
      </x:c>
      <x:c r="C169" t="inlineStr">
        <x:is>
          <x:t xml:space="preserve">Instinct MI200</x:t>
        </x:is>
      </x:c>
    </x:row>
    <x:row r="170">
      <x:c r="A170" t="inlineStr">
        <x:is>
          <x:t xml:space="preserve">Maia 100 (M100)</x:t>
        </x:is>
      </x:c>
      <x:c r="B170" t="inlineStr">
        <x:is>
          <x:t xml:space="preserve">100</x:t>
        </x:is>
      </x:c>
      <x:c r="C170" t="inlineStr">
        <x:is>
          <x:t xml:space="preserve">Maia</x:t>
        </x:is>
      </x:c>
    </x:row>
    <x:row r="171">
      <x:c r="A171" t="inlineStr">
        <x:is>
          <x:t xml:space="preserve">Amazon Trainium3</x:t>
        </x:is>
      </x:c>
      <x:c r="B171" t="inlineStr">
        <x:is>
          <x:t xml:space="preserve">Trainium3</x:t>
        </x:is>
      </x:c>
      <x:c r="C171" t="inlineStr">
        <x:is>
          <x:t xml:space="preserve">Trainium</x:t>
        </x:is>
      </x:c>
    </x:row>
    <x:row r="172">
      <x:c r="A172" t="inlineStr">
        <x:is>
          <x:t xml:space="preserve">Cambricon Siyuan 590</x:t>
        </x:is>
      </x:c>
      <x:c r="B172" t="inlineStr">
        <x:is>
          <x:t xml:space="preserve">Siyuan 590</x:t>
        </x:is>
      </x:c>
      <x:c r="C172" t="inlineStr">
        <x:is>
          <x:t xml:space="preserve">Siyuan</x:t>
        </x:is>
      </x:c>
    </x:row>
    <x:row r="173">
      <x:c r="A173" t="inlineStr">
        <x:is>
          <x:t xml:space="preserve">NVIDIA VR200</x:t>
        </x:is>
      </x:c>
      <x:c r="B173" t="inlineStr">
        <x:is>
          <x:t xml:space="preserve">Rubin</x:t>
        </x:is>
      </x:c>
      <x:c r="C173" t="inlineStr">
        <x:is>
          <x:t xml:space="preserve">Rubin</x:t>
        </x:is>
      </x:c>
    </x:row>
    <x:row r="174">
      <x:c r="A174" t="inlineStr">
        <x:is>
          <x:t xml:space="preserve">NVIDIA VR300 (Rubin Ultra)</x:t>
        </x:is>
      </x:c>
      <x:c r="B174" t="inlineStr">
        <x:is>
          <x:t xml:space="preserve">Rubin Ultra</x:t>
        </x:is>
      </x:c>
      <x:c r="C174" t="inlineStr">
        <x:is>
          <x:t xml:space="preserve">Rubin</x:t>
        </x:is>
      </x:c>
    </x:row>
    <x:row r="175">
      <x:c r="A175" t="inlineStr">
        <x:is>
          <x:t xml:space="preserve">MetaX MXN100</x:t>
        </x:is>
      </x:c>
      <x:c r="B175" t="inlineStr">
        <x:is>
          <x:t xml:space="preserve">MXN100</x:t>
        </x:is>
      </x:c>
      <x:c r="C175" t="inlineStr">
        <x:is>
          <x:t xml:space="preserve">MXN</x:t>
        </x:is>
      </x:c>
    </x:row>
    <x:row r="176">
      <x:c r="A176" t="inlineStr">
        <x:is>
          <x:t xml:space="preserve">Tianshu Zhixin Zhikai 100</x:t>
        </x:is>
      </x:c>
      <x:c r="B176" t="inlineStr">
        <x:is>
          <x:t xml:space="preserve">100</x:t>
        </x:is>
      </x:c>
      <x:c r="C176" t="inlineStr">
        <x:is>
          <x:t xml:space="preserve">Zhikai</x:t>
        </x:is>
      </x:c>
    </x:row>
    <x:row r="177">
      <x:c r="A177" t="inlineStr">
        <x:is>
          <x:t xml:space="preserve">Tianshu Zhixin Tiangai 100 (BI-V100)</x:t>
        </x:is>
      </x:c>
      <x:c r="B177" t="inlineStr">
        <x:is>
          <x:t xml:space="preserve">100</x:t>
        </x:is>
      </x:c>
      <x:c r="C177" t="inlineStr">
        <x:is>
          <x:t xml:space="preserve">Tiangai</x:t>
        </x:is>
      </x:c>
    </x:row>
    <x:row r="178">
      <x:c r="A178" t="inlineStr">
        <x:is>
          <x:t xml:space="preserve">T-Head Hanguang 800</x:t>
        </x:is>
      </x:c>
      <x:c r="B178" t="inlineStr">
        <x:is>
          <x:t xml:space="preserve">800</x:t>
        </x:is>
      </x:c>
      <x:c r="C178" t="inlineStr">
        <x:is>
          <x:t xml:space="preserve">Hanguang</x:t>
        </x:is>
      </x:c>
    </x:row>
    <x:row r="179">
      <x:c r="A179" t="inlineStr">
        <x:is>
          <x:t xml:space="preserve">Intel Habana GAUDI HL-205</x:t>
        </x:is>
      </x:c>
      <x:c r="B179" t="inlineStr">
        <x:is>
          <x:t xml:space="preserve">Gaudi 1</x:t>
        </x:is>
      </x:c>
      <x:c r="C179" t="inlineStr">
        <x:is>
          <x:t xml:space="preserve">Habana Gaudi</x:t>
        </x:is>
      </x:c>
    </x:row>
    <x:row r="180">
      <x:c r="A180" t="inlineStr">
        <x:is>
          <x:t xml:space="preserve">NVIDIA RTX 5880 Ada Generation</x:t>
        </x:is>
      </x:c>
      <x:c r="B180" t="inlineStr">
        <x:is>
          <x:t xml:space="preserve">Ada Lovelace</x:t>
        </x:is>
      </x:c>
      <x:c r="C180" t="inlineStr">
        <x:is>
          <x:t xml:space="preserve">RTX Workstation</x:t>
        </x:is>
      </x:c>
    </x:row>
    <x:row r="181">
      <x:c r="A181" t="inlineStr">
        <x:is>
          <x:t xml:space="preserve">NVIDIA GeForce GTX 1050</x:t>
        </x:is>
      </x:c>
      <x:c r="B181" t="inlineStr">
        <x:is>
          <x:t xml:space="preserve">Pascal</x:t>
        </x:is>
      </x:c>
      <x:c r="C181" t="inlineStr">
        <x:is>
          <x:t xml:space="preserve">GeForce GTX</x:t>
        </x:is>
      </x:c>
    </x:row>
    <x:row r="182">
      <x:c r="A182" t="inlineStr">
        <x:is>
          <x:t xml:space="preserve">NVIDIA RTX 2000 Ada Generation</x:t>
        </x:is>
      </x:c>
      <x:c r="B182" t="inlineStr">
        <x:is>
          <x:t xml:space="preserve">Ada Lovelace</x:t>
        </x:is>
      </x:c>
      <x:c r="C182" t="inlineStr">
        <x:is>
          <x:t xml:space="preserve">RTX Workstation</x:t>
        </x:is>
      </x:c>
    </x:row>
    <x:row r="183">
      <x:c r="A183" t="inlineStr">
        <x:is>
          <x:t xml:space="preserve">NVIDIA GeForce RTX 2080 Ti</x:t>
        </x:is>
      </x:c>
      <x:c r="B183" t="inlineStr">
        <x:is>
          <x:t xml:space="preserve">Turing</x:t>
        </x:is>
      </x:c>
      <x:c r="C183" t="inlineStr">
        <x:is>
          <x:t xml:space="preserve">GeForce RTX</x:t>
        </x:is>
      </x:c>
    </x:row>
    <x:row r="184">
      <x:c r="A184" t="inlineStr">
        <x:is>
          <x:t xml:space="preserve">NVIDIA GeForce RTX 5090</x:t>
        </x:is>
      </x:c>
      <x:c r="B184" t="inlineStr">
        <x:is>
          <x:t xml:space="preserve">Blackwell</x:t>
        </x:is>
      </x:c>
      <x:c r="C184" t="inlineStr">
        <x:is>
          <x:t xml:space="preserve">GeForce RTX</x:t>
        </x:is>
      </x:c>
    </x:row>
    <x:row r="185">
      <x:c r="A185" t="inlineStr">
        <x:is>
          <x:t xml:space="preserve">NVIDIA GeForce RTX 3060 Ti</x:t>
        </x:is>
      </x:c>
      <x:c r="B185" t="inlineStr">
        <x:is>
          <x:t xml:space="preserve">Ampere</x:t>
        </x:is>
      </x:c>
      <x:c r="C185" t="inlineStr">
        <x:is>
          <x:t xml:space="preserve">GeForce RTX</x:t>
        </x:is>
      </x:c>
    </x:row>
    <x:row r="186">
      <x:c r="A186" t="inlineStr">
        <x:is>
          <x:t xml:space="preserve">NVIDIA GeForce RTX 4070 Ti</x:t>
        </x:is>
      </x:c>
      <x:c r="B186" t="inlineStr">
        <x:is>
          <x:t xml:space="preserve">Ada Lovelace</x:t>
        </x:is>
      </x:c>
      <x:c r="C186" t="inlineStr">
        <x:is>
          <x:t xml:space="preserve">GeForce RTX</x:t>
        </x:is>
      </x:c>
    </x:row>
    <x:row r="187">
      <x:c r="A187" t="inlineStr">
        <x:is>
          <x:t xml:space="preserve">NVIDIA GeForce RTX 2080 SUPER</x:t>
        </x:is>
      </x:c>
      <x:c r="B187" t="inlineStr">
        <x:is>
          <x:t xml:space="preserve">Turing</x:t>
        </x:is>
      </x:c>
      <x:c r="C187" t="inlineStr">
        <x:is>
          <x:t xml:space="preserve">GeForce RTX</x:t>
        </x:is>
      </x:c>
    </x:row>
    <x:row r="188">
      <x:c r="A188" t="inlineStr">
        <x:is>
          <x:t xml:space="preserve">NVIDIA Tesla P100 SXM2</x:t>
        </x:is>
      </x:c>
      <x:c r="B188" t="inlineStr">
        <x:is>
          <x:t xml:space="preserve">Pascal</x:t>
        </x:is>
      </x:c>
      <x:c r="C188" t="inlineStr">
        <x:is>
          <x:t xml:space="preserve">Tesla</x:t>
        </x:is>
      </x:c>
    </x:row>
    <x:row r="189">
      <x:c r="A189" t="inlineStr">
        <x:is>
          <x:t xml:space="preserve">NVIDIA Tesla K20X</x:t>
        </x:is>
      </x:c>
      <x:c r="B189" t="inlineStr">
        <x:is>
          <x:t xml:space="preserve">Kepler</x:t>
        </x:is>
      </x:c>
      <x:c r="C189" t="inlineStr">
        <x:is>
          <x:t xml:space="preserve">Tesla</x:t>
        </x:is>
      </x:c>
    </x:row>
    <x:row r="190">
      <x:c r="A190" t="inlineStr">
        <x:is>
          <x:t xml:space="preserve">NVIDIA Tesla C2050</x:t>
        </x:is>
      </x:c>
      <x:c r="B190" t="inlineStr">
        <x:is>
          <x:t xml:space="preserve">Fermi</x:t>
        </x:is>
      </x:c>
      <x:c r="C190" t="inlineStr">
        <x:is>
          <x:t xml:space="preserve">Tesla</x:t>
        </x:is>
      </x:c>
    </x:row>
    <x:row r="191">
      <x:c r="A191" t="inlineStr">
        <x:is>
          <x:t xml:space="preserve">NVIDIA TITAN RTX</x:t>
        </x:is>
      </x:c>
      <x:c r="B191" t="inlineStr">
        <x:is>
          <x:t xml:space="preserve">Turing</x:t>
        </x:is>
      </x:c>
      <x:c r="C191" t="inlineStr">
        <x:is>
          <x:t xml:space="preserve">TITAN</x:t>
        </x:is>
      </x:c>
    </x:row>
    <x:row r="192">
      <x:c r="A192" t="inlineStr">
        <x:is>
          <x:t xml:space="preserve">Huawei Ascend 800T A2</x:t>
        </x:is>
      </x:c>
      <x:c r="B192" t="inlineStr">
        <x:is>
          <x:t xml:space="preserve">Ascend 800T A2</x:t>
        </x:is>
      </x:c>
      <x:c r="C192" t="inlineStr">
        <x:is>
          <x:t xml:space="preserve">Ascend</x:t>
        </x:is>
      </x:c>
    </x:row>
    <x:row r="193">
      <x:c r="A193" t="inlineStr">
        <x:is>
          <x:t xml:space="preserve">Cambricon Siyuan 690</x:t>
        </x:is>
      </x:c>
      <x:c r="B193" t="inlineStr">
        <x:is>
          <x:t xml:space="preserve">Siyuan 690</x:t>
        </x:is>
      </x:c>
      <x:c r="C193" t="inlineStr">
        <x:is>
          <x:t xml:space="preserve">Siyuan</x:t>
        </x:is>
      </x:c>
    </x:row>
    <x:row r="194">
      <x:c r="A194" t="inlineStr">
        <x:is>
          <x:t xml:space="preserve">NVIDIA GeForce GTX 1070</x:t>
        </x:is>
      </x:c>
      <x:c r="B194" t="inlineStr">
        <x:is>
          <x:t xml:space="preserve">Pascal</x:t>
        </x:is>
      </x:c>
      <x:c r="C194" t="inlineStr">
        <x:is>
          <x:t xml:space="preserve">GeForce GTX</x:t>
        </x:is>
      </x:c>
    </x:row>
    <x:row r="195">
      <x:c r="A195" t="inlineStr">
        <x:is>
          <x:t xml:space="preserve">NVIDIA GeForce GTX 980 Ti</x:t>
        </x:is>
      </x:c>
      <x:c r="B195" t="inlineStr">
        <x:is>
          <x:t xml:space="preserve">Maxwell</x:t>
        </x:is>
      </x:c>
      <x:c r="C195" t="inlineStr">
        <x:is>
          <x:t xml:space="preserve">GeForce GTX</x:t>
        </x:is>
      </x:c>
    </x:row>
    <x:row r="196">
      <x:c r="A196" t="inlineStr">
        <x:is>
          <x:t xml:space="preserve">NVIDIA Quadro GV100</x:t>
        </x:is>
      </x:c>
      <x:c r="B196" t="inlineStr">
        <x:is>
          <x:t xml:space="preserve">Volta</x:t>
        </x:is>
      </x:c>
      <x:c r="C196" t="inlineStr">
        <x:is>
          <x:t xml:space="preserve">Quadro</x:t>
        </x:is>
      </x:c>
    </x:row>
    <x:row r="197">
      <x:c r="A197" t="inlineStr">
        <x:is>
          <x:t xml:space="preserve">NVIDIA Quadro GP100</x:t>
        </x:is>
      </x:c>
      <x:c r="B197" t="inlineStr">
        <x:is>
          <x:t xml:space="preserve">Pascal</x:t>
        </x:is>
      </x:c>
      <x:c r="C197" t="inlineStr">
        <x:is>
          <x:t xml:space="preserve">Quadro</x:t>
        </x:is>
      </x:c>
    </x:row>
    <x:row r="198">
      <x:c r="A198" t="inlineStr">
        <x:is>
          <x:t xml:space="preserve">NVIDIA TITAN X Pascal</x:t>
        </x:is>
      </x:c>
      <x:c r="B198" t="inlineStr">
        <x:is>
          <x:t xml:space="preserve">Pascal</x:t>
        </x:is>
      </x:c>
      <x:c r="C198" t="inlineStr">
        <x:is>
          <x:t xml:space="preserve">TITAN</x:t>
        </x:is>
      </x:c>
    </x:row>
    <x:row r="199">
      <x:c r="A199" t="inlineStr">
        <x:is>
          <x:t xml:space="preserve">NVIDIA Quadro P1000</x:t>
        </x:is>
      </x:c>
      <x:c r="B199" t="inlineStr">
        <x:is>
          <x:t xml:space="preserve">Pascal</x:t>
        </x:is>
      </x:c>
      <x:c r="C199" t="inlineStr">
        <x:is>
          <x:t xml:space="preserve">Quadro</x:t>
        </x:is>
      </x:c>
    </x:row>
    <x:row r="200">
      <x:c r="A200" t="inlineStr">
        <x:is>
          <x:t xml:space="preserve">NVIDIA GeForce RTX 3080 Ti</x:t>
        </x:is>
      </x:c>
      <x:c r="B200" t="inlineStr">
        <x:is>
          <x:t xml:space="preserve">Ampere</x:t>
        </x:is>
      </x:c>
      <x:c r="C200" t="inlineStr">
        <x:is>
          <x:t xml:space="preserve">GeForce RTX</x:t>
        </x:is>
      </x:c>
    </x:row>
    <x:row r="201">
      <x:c r="A201" t="inlineStr">
        <x:is>
          <x:t xml:space="preserve">NVIDIA GeForce RTX 2080</x:t>
        </x:is>
      </x:c>
      <x:c r="B201" t="inlineStr">
        <x:is>
          <x:t xml:space="preserve">Turing</x:t>
        </x:is>
      </x:c>
      <x:c r="C201" t="inlineStr">
        <x:is>
          <x:t xml:space="preserve">GeForce RTX</x:t>
        </x:is>
      </x:c>
    </x:row>
    <x:row r="202">
      <x:c r="A202" t="inlineStr">
        <x:is>
          <x:t xml:space="preserve">NVIDIA GeForce GTX 1650</x:t>
        </x:is>
      </x:c>
      <x:c r="B202" t="inlineStr">
        <x:is>
          <x:t xml:space="preserve">Turing</x:t>
        </x:is>
      </x:c>
      <x:c r="C202" t="inlineStr">
        <x:is>
          <x:t xml:space="preserve">GeForce GTX</x:t>
        </x:is>
      </x:c>
    </x:row>
    <x:row r="203">
      <x:c r="A203" t="inlineStr">
        <x:is>
          <x:t xml:space="preserve">NVIDIA Tesla K40c</x:t>
        </x:is>
      </x:c>
      <x:c r="B203" t="inlineStr">
        <x:is>
          <x:t xml:space="preserve">Kepler</x:t>
        </x:is>
      </x:c>
      <x:c r="C203" t="inlineStr">
        <x:is>
          <x:t xml:space="preserve">Tesla</x:t>
        </x:is>
      </x:c>
    </x:row>
    <x:row r="204">
      <x:c r="A204" t="inlineStr">
        <x:is>
          <x:t xml:space="preserve">NVIDIA GeForce RTX 3060</x:t>
        </x:is>
      </x:c>
      <x:c r="B204" t="inlineStr">
        <x:is>
          <x:t xml:space="preserve">Ampere</x:t>
        </x:is>
      </x:c>
      <x:c r="C204" t="inlineStr">
        <x:is>
          <x:t xml:space="preserve">GeForce RTX</x:t>
        </x:is>
      </x:c>
    </x:row>
    <x:row r="205">
      <x:c r="A205" t="inlineStr">
        <x:is>
          <x:t xml:space="preserve">NVIDIA GeForce RTX 2070 SUPER</x:t>
        </x:is>
      </x:c>
      <x:c r="B205" t="inlineStr">
        <x:is>
          <x:t xml:space="preserve">Turing</x:t>
        </x:is>
      </x:c>
      <x:c r="C205" t="inlineStr">
        <x:is>
          <x:t xml:space="preserve">GeForce RTX</x:t>
        </x:is>
      </x:c>
    </x:row>
    <x:row r="206">
      <x:c r="A206" t="inlineStr">
        <x:is>
          <x:t xml:space="preserve">NVIDIA GeForce RTX 2060 SUPER</x:t>
        </x:is>
      </x:c>
      <x:c r="B206" t="inlineStr">
        <x:is>
          <x:t xml:space="preserve">Turing</x:t>
        </x:is>
      </x:c>
      <x:c r="C206" t="inlineStr">
        <x:is>
          <x:t xml:space="preserve">GeForce RTX</x:t>
        </x:is>
      </x:c>
    </x:row>
    <x:row r="207">
      <x:c r="A207" t="inlineStr">
        <x:is>
          <x:t xml:space="preserve">NVIDIA GeForce GTX 1060</x:t>
        </x:is>
      </x:c>
      <x:c r="B207" t="inlineStr">
        <x:is>
          <x:t xml:space="preserve">Pascal</x:t>
        </x:is>
      </x:c>
      <x:c r="C207" t="inlineStr">
        <x:is>
          <x:t xml:space="preserve">GeForce GTX</x:t>
        </x:is>
      </x:c>
    </x:row>
    <x:row r="208">
      <x:c r="A208" t="inlineStr">
        <x:is>
          <x:t xml:space="preserve">NVIDIA GeForce RTX 3050</x:t>
        </x:is>
      </x:c>
      <x:c r="B208" t="inlineStr">
        <x:is>
          <x:t xml:space="preserve">Ampere</x:t>
        </x:is>
      </x:c>
      <x:c r="C208" t="inlineStr">
        <x:is>
          <x:t xml:space="preserve">GeForce RTX</x:t>
        </x:is>
      </x:c>
    </x:row>
    <x:row r="209">
      <x:c r="A209" t="inlineStr">
        <x:is>
          <x:t xml:space="preserve">NVIDIA GeForce RTX 3070</x:t>
        </x:is>
      </x:c>
      <x:c r="B209" t="inlineStr">
        <x:is>
          <x:t xml:space="preserve">Ampere</x:t>
        </x:is>
      </x:c>
      <x:c r="C209" t="inlineStr">
        <x:is>
          <x:t xml:space="preserve">GeForce RTX</x:t>
        </x:is>
      </x:c>
    </x:row>
    <x:row r="210">
      <x:c r="A210" t="inlineStr">
        <x:is>
          <x:t xml:space="preserve">NVIDIA GeForce GTX 960</x:t>
        </x:is>
      </x:c>
      <x:c r="B210" t="inlineStr">
        <x:is>
          <x:t xml:space="preserve">Maxwell</x:t>
        </x:is>
      </x:c>
      <x:c r="C210" t="inlineStr">
        <x:is>
          <x:t xml:space="preserve">GeForce GTX</x:t>
        </x:is>
      </x:c>
    </x:row>
    <x:row r="211">
      <x:c r="A211" t="inlineStr">
        <x:is>
          <x:t xml:space="preserve">NVIDIA GeForce RTX 2070</x:t>
        </x:is>
      </x:c>
      <x:c r="B211" t="inlineStr">
        <x:is>
          <x:t xml:space="preserve">Turing</x:t>
        </x:is>
      </x:c>
      <x:c r="C211" t="inlineStr">
        <x:is>
          <x:t xml:space="preserve">GeForce RTX</x:t>
        </x:is>
      </x:c>
    </x:row>
    <x:row r="212">
      <x:c r="A212" t="inlineStr">
        <x:is>
          <x:t xml:space="preserve">NVIDIA RTX A5500</x:t>
        </x:is>
      </x:c>
      <x:c r="B212" t="inlineStr">
        <x:is>
          <x:t xml:space="preserve">Ampere</x:t>
        </x:is>
      </x:c>
      <x:c r="C212" t="inlineStr">
        <x:is>
          <x:t xml:space="preserve">RTX Workstation</x:t>
        </x:is>
      </x:c>
    </x:row>
    <x:row r="213">
      <x:c r="A213" t="inlineStr">
        <x:is>
          <x:t xml:space="preserve">NVIDIA Tesla K40m</x:t>
        </x:is>
      </x:c>
      <x:c r="B213" t="inlineStr">
        <x:is>
          <x:t xml:space="preserve">Kepler</x:t>
        </x:is>
      </x:c>
      <x:c r="C213" t="inlineStr">
        <x:is>
          <x:t xml:space="preserve">Tesla</x:t>
        </x:is>
      </x:c>
    </x:row>
    <x:row r="214">
      <x:c r="A214" t="inlineStr">
        <x:is>
          <x:t xml:space="preserve">NVIDIA GeForce MX110</x:t>
        </x:is>
      </x:c>
      <x:c r="B214" t="inlineStr">
        <x:is>
          <x:t xml:space="preserve">Maxwell</x:t>
        </x:is>
      </x:c>
      <x:c r="C214" t="inlineStr">
        <x:is>
          <x:t xml:space="preserve">GeForce MX</x:t>
        </x:is>
      </x:c>
    </x:row>
    <x:row r="215">
      <x:c r="A215" t="inlineStr">
        <x:is>
          <x:t xml:space="preserve">AMD Radeon Pro WX 9100</x:t>
        </x:is>
      </x:c>
      <x:c r="B215" t="inlineStr">
        <x:is>
          <x:t xml:space="preserve">Vega</x:t>
        </x:is>
      </x:c>
      <x:c r="C215" t="inlineStr">
        <x:is>
          <x:t xml:space="preserve">Radeon Pro WX</x:t>
        </x:is>
      </x:c>
    </x:row>
    <x:row r="216">
      <x:c r="A216" t="inlineStr">
        <x:is>
          <x:t xml:space="preserve">NVIDIA GeForce RTX 4060 Ti</x:t>
        </x:is>
      </x:c>
      <x:c r="B216" t="inlineStr">
        <x:is>
          <x:t xml:space="preserve">Ada Lovelace</x:t>
        </x:is>
      </x:c>
      <x:c r="C216" t="inlineStr">
        <x:is>
          <x:t xml:space="preserve">GeForce RTX</x:t>
        </x:is>
      </x:c>
    </x:row>
    <x:row r="217">
      <x:c r="A217" t="inlineStr">
        <x:is>
          <x:t xml:space="preserve">NVIDIA DGX-2</x:t>
        </x:is>
      </x:c>
      <x:c r="B217" t="inlineStr">
        <x:is>
          <x:t xml:space="preserve">Volta</x:t>
        </x:is>
      </x:c>
      <x:c r="C217" t="inlineStr">
        <x:is>
          <x:t xml:space="preserve">DGX</x:t>
        </x:is>
      </x:c>
    </x:row>
    <x:row r="218">
      <x:c r="A218" t="inlineStr">
        <x:is>
          <x:t xml:space="preserve">AWS EC2 p4de.24xlarge</x:t>
        </x:is>
      </x:c>
      <x:c r="B218" t="inlineStr">
        <x:is>
          <x:t xml:space="preserve">Ampere</x:t>
        </x:is>
      </x:c>
      <x:c r="C218" t="inlineStr">
        <x:is>
          <x:t xml:space="preserve">EC2 P-series</x:t>
        </x:is>
      </x:c>
    </x:row>
    <x:row r="219">
      <x:c r="A219" t="inlineStr">
        <x:is>
          <x:t xml:space="preserve">NVIDIA Jetson Orin Nano 8GB</x:t>
        </x:is>
      </x:c>
      <x:c r="B219" t="inlineStr">
        <x:is>
          <x:t xml:space="preserve">Ampere</x:t>
        </x:is>
      </x:c>
      <x:c r="C219" t="inlineStr">
        <x:is>
          <x:t xml:space="preserve">Jetson</x:t>
        </x:is>
      </x:c>
    </x:row>
    <x:row r="220">
      <x:c r="A220" t="inlineStr">
        <x:is>
          <x:t xml:space="preserve">AWS EC2 g5.4xlarge</x:t>
        </x:is>
      </x:c>
      <x:c r="B220" t="inlineStr">
        <x:is>
          <x:t xml:space="preserve">Ampere</x:t>
        </x:is>
      </x:c>
      <x:c r="C220" t="inlineStr">
        <x:is>
          <x:t xml:space="preserve">EC2 G-series</x:t>
        </x:is>
      </x:c>
    </x:row>
    <x:row r="221">
      <x:c r="A221" t="inlineStr">
        <x:is>
          <x:t xml:space="preserve">AWS EC2 p3.8xlarge</x:t>
        </x:is>
      </x:c>
      <x:c r="B221" t="inlineStr">
        <x:is>
          <x:t xml:space="preserve">Volta</x:t>
        </x:is>
      </x:c>
      <x:c r="C221" t="inlineStr">
        <x:is>
          <x:t xml:space="preserve">EC2 P-series</x:t>
        </x:is>
      </x:c>
    </x:row>
    <x:row r="222">
      <x:c r="A222" t="inlineStr">
        <x:is>
          <x:t xml:space="preserve">NVIDIA DGX-1</x:t>
        </x:is>
      </x:c>
      <x:c r="B222" t="inlineStr">
        <x:is>
          <x:t xml:space="preserve">Pascal</x:t>
        </x:is>
      </x:c>
      <x:c r="C222" t="inlineStr">
        <x:is>
          <x:t xml:space="preserve">DGX</x:t>
        </x:is>
      </x:c>
    </x:row>
    <x:row r="223">
      <x:c r="A223" t="inlineStr">
        <x:is>
          <x:t xml:space="preserve">AWS EC2 p3.2xlarge</x:t>
        </x:is>
      </x:c>
      <x:c r="B223" t="inlineStr">
        <x:is>
          <x:t xml:space="preserve">Volta</x:t>
        </x:is>
      </x:c>
      <x:c r="C223" t="inlineStr">
        <x:is>
          <x:t xml:space="preserve">EC2 P-series</x:t>
        </x:is>
      </x:c>
    </x:row>
    <x:row r="224">
      <x:c r="A224" t="inlineStr">
        <x:is>
          <x:t xml:space="preserve">AWS EC2 p3dn.24xlarge</x:t>
        </x:is>
      </x:c>
      <x:c r="B224" t="inlineStr">
        <x:is>
          <x:t xml:space="preserve">Volta</x:t>
        </x:is>
      </x:c>
      <x:c r="C224" t="inlineStr">
        <x:is>
          <x:t xml:space="preserve">EC2 P-series</x:t>
        </x:is>
      </x:c>
    </x:row>
    <x:row r="225">
      <x:c r="A225" t="inlineStr">
        <x:is>
          <x:t xml:space="preserve">AWS EC2 p3.16xlarge</x:t>
        </x:is>
      </x:c>
      <x:c r="B225" t="inlineStr">
        <x:is>
          <x:t xml:space="preserve">Volta</x:t>
        </x:is>
      </x:c>
      <x:c r="C225" t="inlineStr">
        <x:is>
          <x:t xml:space="preserve">EC2 P-series</x:t>
        </x:is>
      </x:c>
    </x:row>
    <x:row r="226">
      <x:c r="A226" t="inlineStr">
        <x:is>
          <x:t xml:space="preserve">NVIDIA DGX-2H</x:t>
        </x:is>
      </x:c>
      <x:c r="B226" t="inlineStr">
        <x:is>
          <x:t xml:space="preserve">Volta</x:t>
        </x:is>
      </x:c>
      <x:c r="C226" t="inlineStr">
        <x:is>
          <x:t xml:space="preserve">DGX</x:t>
        </x:is>
      </x:c>
    </x:row>
    <x:row r="227">
      <x:c r="A227" t="inlineStr">
        <x:is>
          <x:t xml:space="preserve">NVIDIA DGX-1V</x:t>
        </x:is>
      </x:c>
      <x:c r="B227" t="inlineStr">
        <x:is>
          <x:t xml:space="preserve">Volta</x:t>
        </x:is>
      </x:c>
      <x:c r="C227" t="inlineStr">
        <x:is>
          <x:t xml:space="preserve">DGX</x:t>
        </x:is>
      </x:c>
    </x:row>
  </x:sheetData>
  <x:pageMargins left="0.7" right="0.7" top="0.75" bottom="0.75" header="0.3" footer="0.3"/>
</x:worksheet>
</file>